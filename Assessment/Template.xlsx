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13cloud-my.sharepoint.com/personal/si_tumeke_cloud/Documents/Documents/GitHub/Tumeke-T2T Assessment/"/>
    </mc:Choice>
  </mc:AlternateContent>
  <xr:revisionPtr revIDLastSave="1" documentId="8_{8E49DB40-D169-415B-B64C-635BB57EF79C}" xr6:coauthVersionLast="47" xr6:coauthVersionMax="47" xr10:uidLastSave="{BF1171B1-3B1E-4504-A6FF-B81C30BF9D63}"/>
  <bookViews>
    <workbookView xWindow="-108" yWindow="-108" windowWidth="46296" windowHeight="25416" tabRatio="747" activeTab="1" xr2:uid="{00000000-000D-0000-FFFF-FFFF00000000}"/>
  </bookViews>
  <sheets>
    <sheet name="Dashboard" sheetId="3" r:id="rId1"/>
    <sheet name="Data" sheetId="1" r:id="rId2"/>
    <sheet name="AllUsers" sheetId="9" r:id="rId3"/>
    <sheet name="AccountSummary" sheetId="2" r:id="rId4"/>
    <sheet name="Devices" sheetId="7" r:id="rId5"/>
    <sheet name="GroupSummary" sheetId="5" r:id="rId6"/>
    <sheet name="OneDrives" sheetId="8" r:id="rId7"/>
    <sheet name="SharePointSites" sheetId="6" r:id="rId8"/>
    <sheet name="Contacts" sheetId="10" r:id="rId9"/>
    <sheet name="Domains" sheetId="17" r:id="rId10"/>
    <sheet name="MailEnabledSecurityGroups" sheetId="11" r:id="rId11"/>
    <sheet name="DynamicDistributionGroups" sheetId="12" r:id="rId12"/>
    <sheet name="DistributionGroups" sheetId="13" r:id="rId13"/>
    <sheet name="SecurityGroups" sheetId="14" r:id="rId14"/>
    <sheet name="AccountMailboxes" sheetId="15" r:id="rId15"/>
    <sheet name="GroupMailboxes" sheetId="16" r:id="rId16"/>
    <sheet name="Sheet1" sheetId="4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" l="1"/>
  <c r="C58" i="1"/>
  <c r="C57" i="1"/>
  <c r="C56" i="1"/>
  <c r="C51" i="1"/>
  <c r="D51" i="1" s="1"/>
  <c r="C50" i="1"/>
  <c r="D50" i="1" s="1"/>
  <c r="C49" i="1"/>
  <c r="D45" i="1"/>
  <c r="C18" i="1" s="1"/>
  <c r="C45" i="1"/>
  <c r="D40" i="1"/>
  <c r="C40" i="1"/>
  <c r="C35" i="1"/>
  <c r="E35" i="1" s="1"/>
  <c r="C34" i="1"/>
  <c r="E34" i="1" s="1"/>
  <c r="F31" i="1"/>
  <c r="C31" i="1"/>
  <c r="E31" i="1" s="1"/>
  <c r="K30" i="1"/>
  <c r="F30" i="1"/>
  <c r="C30" i="1"/>
  <c r="E30" i="1" s="1"/>
  <c r="K29" i="1"/>
  <c r="F29" i="1"/>
  <c r="C29" i="1"/>
  <c r="D35" i="1" s="1"/>
  <c r="N28" i="1"/>
  <c r="M28" i="1"/>
  <c r="L28" i="1"/>
  <c r="K28" i="1"/>
  <c r="F28" i="1"/>
  <c r="C28" i="1"/>
  <c r="D34" i="1" s="1"/>
  <c r="C14" i="1"/>
  <c r="F13" i="1"/>
  <c r="E13" i="1"/>
  <c r="D13" i="1"/>
  <c r="C13" i="1"/>
  <c r="F12" i="1"/>
  <c r="E12" i="1"/>
  <c r="D12" i="1"/>
  <c r="C12" i="1"/>
  <c r="E36" i="1" l="1"/>
  <c r="C52" i="1"/>
  <c r="D36" i="1"/>
  <c r="D29" i="1"/>
  <c r="C36" i="1"/>
  <c r="E29" i="1"/>
  <c r="D30" i="1"/>
  <c r="D31" i="1"/>
  <c r="D49" i="1"/>
  <c r="D52" i="1" s="1"/>
  <c r="C19" i="1" s="1"/>
  <c r="C32" i="1"/>
  <c r="C38" i="1" s="1"/>
  <c r="D28" i="1"/>
  <c r="E28" i="1"/>
  <c r="E32" i="1" s="1"/>
  <c r="E38" i="1" s="1"/>
  <c r="D32" i="1" l="1"/>
  <c r="C17" i="1" s="1"/>
  <c r="C20" i="1" s="1"/>
  <c r="D38" i="1" l="1"/>
</calcChain>
</file>

<file path=xl/sharedStrings.xml><?xml version="1.0" encoding="utf-8"?>
<sst xmlns="http://schemas.openxmlformats.org/spreadsheetml/2006/main" count="71" uniqueCount="58">
  <si>
    <t>Organisation:</t>
  </si>
  <si>
    <t>VitiTech</t>
  </si>
  <si>
    <t>Tenant ID:</t>
  </si>
  <si>
    <t>71f09508-9440-42f5-8457-adb01bd21945</t>
  </si>
  <si>
    <t>SharePoint Admin Site:</t>
  </si>
  <si>
    <t>https://tumekecloud-admin.sharepoint.com</t>
  </si>
  <si>
    <t>Consultant:</t>
  </si>
  <si>
    <t>Bob Dobalina</t>
  </si>
  <si>
    <t>Report Date</t>
  </si>
  <si>
    <t>2026-08-10 15:46:04</t>
  </si>
  <si>
    <t>Report File:</t>
  </si>
  <si>
    <t>VitiTech.Softcat-T2T-Assessment-Report-20260810-154611.xlsx</t>
  </si>
  <si>
    <t>Accounts</t>
  </si>
  <si>
    <t>Total</t>
  </si>
  <si>
    <t>Enabled</t>
  </si>
  <si>
    <t>Licensed</t>
  </si>
  <si>
    <t>Sync'd</t>
  </si>
  <si>
    <t>Member</t>
  </si>
  <si>
    <t>Guest</t>
  </si>
  <si>
    <t>Contacts</t>
  </si>
  <si>
    <t>Data</t>
  </si>
  <si>
    <t>GB</t>
  </si>
  <si>
    <t>Mailbox</t>
  </si>
  <si>
    <t>OneDrives</t>
  </si>
  <si>
    <t>SharePoint</t>
  </si>
  <si>
    <t>Mailboxes</t>
  </si>
  <si>
    <t>Devices</t>
  </si>
  <si>
    <t>Type</t>
  </si>
  <si>
    <t>#</t>
  </si>
  <si>
    <t>Items</t>
  </si>
  <si>
    <t>Hold</t>
  </si>
  <si>
    <t>Registered</t>
  </si>
  <si>
    <t>Joined</t>
  </si>
  <si>
    <t>Hybrid</t>
  </si>
  <si>
    <t>Active 30 days</t>
  </si>
  <si>
    <t>User</t>
  </si>
  <si>
    <t>Windows</t>
  </si>
  <si>
    <t>Shared</t>
  </si>
  <si>
    <t>Android</t>
  </si>
  <si>
    <t>Equipment</t>
  </si>
  <si>
    <t>iOS</t>
  </si>
  <si>
    <t>Room</t>
  </si>
  <si>
    <t>Total User Mailboxes</t>
  </si>
  <si>
    <t>Microsoft 365 Group Mailboxes</t>
  </si>
  <si>
    <t xml:space="preserve">Microsoft Teams Mailboxes </t>
  </si>
  <si>
    <t xml:space="preserve">Total Unified Group Mailboxes </t>
  </si>
  <si>
    <t xml:space="preserve">Total </t>
  </si>
  <si>
    <t>Archive Mailboxes</t>
  </si>
  <si>
    <t>Active</t>
  </si>
  <si>
    <t>SharePoint Sites</t>
  </si>
  <si>
    <t>M365 Group</t>
  </si>
  <si>
    <t>Team</t>
  </si>
  <si>
    <t>Groups</t>
  </si>
  <si>
    <t>MailEnabledSecurityGroups</t>
  </si>
  <si>
    <t>Distribution Groups</t>
  </si>
  <si>
    <t>Dynamic Distribution Groups</t>
  </si>
  <si>
    <t>Security Groups</t>
  </si>
  <si>
    <t>v10-8-17-25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</si>
</sst>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2" fontId="0" fillId="0" borderId="0" xfId="0" applyNumberFormat="1"/>
    <xf numFmtId="0" fontId="3" fillId="0" borderId="0" xfId="0" applyFont="1"/>
    <xf numFmtId="3" fontId="1" fillId="0" borderId="0" xfId="0" applyNumberFormat="1" applyFont="1"/>
    <xf numFmtId="0" fontId="0" fillId="0" borderId="1" xfId="0" applyBorder="1"/>
    <xf numFmtId="2" fontId="0" fillId="0" borderId="1" xfId="0" applyNumberFormat="1" applyBorder="1"/>
    <xf numFmtId="0" fontId="5" fillId="2" borderId="0" xfId="0" applyFont="1" applyFill="1"/>
    <xf numFmtId="0" fontId="4" fillId="2" borderId="0" xfId="0" applyFont="1" applyFill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4" fillId="2" borderId="0" xfId="0" applyFont="1" applyFill="1" applyAlignment="1">
      <alignment horizontal="right"/>
    </xf>
    <xf numFmtId="0" fontId="1" fillId="3" borderId="0" xfId="0" applyFont="1" applyFill="1"/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9">
    <dxf>
      <font>
        <color theme="0"/>
      </font>
      <fill>
        <patternFill>
          <bgColor rgb="FF535BBB"/>
        </patternFill>
      </fill>
    </dxf>
    <dxf>
      <font>
        <color theme="0"/>
      </font>
      <fill>
        <patternFill>
          <bgColor rgb="FF777FE4"/>
        </patternFill>
      </fill>
    </dxf>
    <dxf>
      <font>
        <color theme="0"/>
      </font>
      <fill>
        <patternFill>
          <bgColor rgb="FF19969C"/>
        </patternFill>
      </fill>
    </dxf>
    <dxf>
      <font>
        <color theme="0"/>
      </font>
      <fill>
        <patternFill>
          <bgColor rgb="FFE45F16"/>
        </patternFill>
      </fill>
    </dxf>
    <dxf>
      <font>
        <color theme="0"/>
      </font>
      <fill>
        <patternFill>
          <bgColor rgb="FF535BBB"/>
        </patternFill>
      </fill>
    </dxf>
    <dxf>
      <font>
        <color theme="0"/>
      </font>
      <fill>
        <patternFill>
          <bgColor rgb="FF777FE4"/>
        </patternFill>
      </fill>
    </dxf>
    <dxf>
      <font>
        <color theme="0"/>
      </font>
      <fill>
        <patternFill>
          <bgColor rgb="FF19969C"/>
        </patternFill>
      </fill>
    </dxf>
    <dxf>
      <font>
        <color theme="0"/>
      </font>
      <fill>
        <patternFill>
          <bgColor rgb="FFE45F16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45F16"/>
      <color rgb="FFAC8300"/>
      <color rgb="FF19969C"/>
      <color rgb="FF777FE4"/>
      <color rgb="FF535BBB"/>
      <color rgb="FF4FC8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Accounts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Data!$B$12:$B$13</c:f>
              <c:strCache>
                <c:ptCount val="2"/>
                <c:pt idx="0">
                  <c:v>Member</c:v>
                </c:pt>
                <c:pt idx="1">
                  <c:v>Guest</c:v>
                </c:pt>
              </c:strCache>
            </c:strRef>
          </c:cat>
          <c:val>
            <c:numRef>
              <c:f>Data!$C$12:$C$13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9-43B9-8534-8C4D4E519C7E}"/>
            </c:ext>
          </c:extLst>
        </c:ser>
        <c:ser>
          <c:idx val="1"/>
          <c:order val="1"/>
          <c:tx>
            <c:strRef>
              <c:f>Data!$D$11</c:f>
              <c:strCache>
                <c:ptCount val="1"/>
                <c:pt idx="0">
                  <c:v>Enabled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Data!$B$12:$B$13</c:f>
              <c:strCache>
                <c:ptCount val="2"/>
                <c:pt idx="0">
                  <c:v>Member</c:v>
                </c:pt>
                <c:pt idx="1">
                  <c:v>Guest</c:v>
                </c:pt>
              </c:strCache>
            </c:strRef>
          </c:cat>
          <c:val>
            <c:numRef>
              <c:f>Data!$D$12:$D$13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D9-43B9-8534-8C4D4E519C7E}"/>
            </c:ext>
          </c:extLst>
        </c:ser>
        <c:ser>
          <c:idx val="2"/>
          <c:order val="2"/>
          <c:tx>
            <c:strRef>
              <c:f>Data!$E$11</c:f>
              <c:strCache>
                <c:ptCount val="1"/>
                <c:pt idx="0">
                  <c:v>Licensed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Data!$B$12:$B$13</c:f>
              <c:strCache>
                <c:ptCount val="2"/>
                <c:pt idx="0">
                  <c:v>Member</c:v>
                </c:pt>
                <c:pt idx="1">
                  <c:v>Guest</c:v>
                </c:pt>
              </c:strCache>
            </c:strRef>
          </c:cat>
          <c:val>
            <c:numRef>
              <c:f>Data!$E$12:$E$13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D9-43B9-8534-8C4D4E519C7E}"/>
            </c:ext>
          </c:extLst>
        </c:ser>
        <c:ser>
          <c:idx val="3"/>
          <c:order val="3"/>
          <c:tx>
            <c:strRef>
              <c:f>Data!$F$11</c:f>
              <c:strCache>
                <c:ptCount val="1"/>
                <c:pt idx="0">
                  <c:v>Sync'd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Data!$B$12:$B$13</c:f>
              <c:strCache>
                <c:ptCount val="2"/>
                <c:pt idx="0">
                  <c:v>Member</c:v>
                </c:pt>
                <c:pt idx="1">
                  <c:v>Guest</c:v>
                </c:pt>
              </c:strCache>
            </c:strRef>
          </c:cat>
          <c:val>
            <c:numRef>
              <c:f>Data!$F$12:$F$13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D9-43B9-8534-8C4D4E519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0521440"/>
        <c:axId val="680513280"/>
      </c:barChart>
      <c:catAx>
        <c:axId val="680521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Account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513280"/>
        <c:crosses val="autoZero"/>
        <c:auto val="1"/>
        <c:lblAlgn val="ctr"/>
        <c:lblOffset val="100"/>
        <c:noMultiLvlLbl val="0"/>
      </c:catAx>
      <c:valAx>
        <c:axId val="68051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521440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10</xdr:col>
      <xdr:colOff>541020</xdr:colOff>
      <xdr:row>26</xdr:row>
      <xdr:rowOff>0</xdr:rowOff>
    </xdr:to>
    <xdr:graphicFrame macro="">
      <xdr:nvGraphicFramePr>
        <xdr:cNvPr id="2" name="Accounts by Type Chart">
          <a:extLst>
            <a:ext uri="{FF2B5EF4-FFF2-40B4-BE49-F238E27FC236}">
              <a16:creationId xmlns:a16="http://schemas.microsoft.com/office/drawing/2014/main" id="{EC80E93F-61B7-461E-9FAA-98A072D6A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228600</xdr:colOff>
      <xdr:row>0</xdr:row>
      <xdr:rowOff>0</xdr:rowOff>
    </xdr:from>
    <xdr:to>
      <xdr:col>17</xdr:col>
      <xdr:colOff>95250</xdr:colOff>
      <xdr:row>1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9C689E-50CB-1282-CF21-751C401CD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0740" y="0"/>
          <a:ext cx="1097280" cy="1097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373381</xdr:colOff>
      <xdr:row>0</xdr:row>
      <xdr:rowOff>152402</xdr:rowOff>
    </xdr:from>
    <xdr:to>
      <xdr:col>1</xdr:col>
      <xdr:colOff>853441</xdr:colOff>
      <xdr:row>0</xdr:row>
      <xdr:rowOff>947840</xdr:rowOff>
    </xdr:to>
    <xdr:pic>
      <xdr:nvPicPr>
        <xdr:cNvPr id="3" name="Picture 2" descr="Softcat logo in transparent PNG and vectorized SVG formats">
          <a:extLst>
            <a:ext uri="{FF2B5EF4-FFF2-40B4-BE49-F238E27FC236}">
              <a16:creationId xmlns:a16="http://schemas.microsoft.com/office/drawing/2014/main" id="{F490E448-ECC3-ADEE-1120-09AFAD77D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1" y="152402"/>
          <a:ext cx="480060" cy="7954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DynamicDistributionGroups" displayName="DynamicDistributionGroups" ref="A1:F1" headerRowCount="0">
  <tableColumns count="6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BD5E2-2C14-4280-8635-7F01B3027288}">
  <dimension ref="A1"/>
  <sheetViews>
    <sheetView workbookViewId="0">
      <selection activeCell="H60" sqref="H6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showGridLines="0" tabSelected="1" workbookViewId="0">
      <pane ySplit="1" topLeftCell="A2" activePane="bottomLeft" state="frozen"/>
      <selection pane="bottomLeft" activeCell="T11" sqref="T11"/>
    </sheetView>
  </sheetViews>
  <sheetFormatPr defaultRowHeight="14.4" x14ac:dyDescent="0.3"/>
  <cols>
    <col min="1" max="1" width="2.33203125" customWidth="1"/>
    <col min="2" max="2" width="31.5546875" customWidth="1"/>
    <col min="3" max="3" width="7.44140625" customWidth="1"/>
  </cols>
  <sheetData>
    <row r="1" spans="1:17" ht="84" customHeight="1" x14ac:dyDescent="0.3"/>
    <row r="2" spans="1:17" x14ac:dyDescent="0.3">
      <c r="Q2" t="s">
        <v>57</v>
      </c>
    </row>
    <row r="3" spans="1:17" x14ac:dyDescent="0.3">
      <c r="A3" s="2"/>
      <c r="B3" s="2" t="s">
        <v>0</v>
      </c>
      <c r="C3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</row>
    <row r="4" spans="1:17" x14ac:dyDescent="0.3">
      <c r="B4" s="2" t="s">
        <v>2</v>
      </c>
      <c r="C4" t="s">
        <v>3</v>
      </c>
    </row>
    <row r="5" spans="1:17" x14ac:dyDescent="0.3">
      <c r="B5" s="2" t="s">
        <v>4</v>
      </c>
      <c r="C5" t="s">
        <v>5</v>
      </c>
    </row>
    <row r="6" spans="1:17" x14ac:dyDescent="0.3">
      <c r="B6" s="2" t="s">
        <v>6</v>
      </c>
      <c r="C6" t="s">
        <v>7</v>
      </c>
    </row>
    <row r="7" spans="1:17" x14ac:dyDescent="0.3">
      <c r="B7" s="2" t="s">
        <v>8</v>
      </c>
      <c r="C7" t="s">
        <v>9</v>
      </c>
    </row>
    <row r="8" spans="1:17" x14ac:dyDescent="0.3">
      <c r="B8" s="2" t="s">
        <v>10</v>
      </c>
      <c r="C8" t="s">
        <v>11</v>
      </c>
    </row>
    <row r="9" spans="1:17" x14ac:dyDescent="0.3">
      <c r="C9" s="1"/>
    </row>
    <row r="11" spans="1:17" x14ac:dyDescent="0.3">
      <c r="B11" s="9" t="s">
        <v>12</v>
      </c>
      <c r="C11" s="14" t="s">
        <v>13</v>
      </c>
      <c r="D11" s="14" t="s">
        <v>14</v>
      </c>
      <c r="E11" s="14" t="s">
        <v>15</v>
      </c>
      <c r="F11" s="14" t="s">
        <v>16</v>
      </c>
    </row>
    <row r="12" spans="1:17" x14ac:dyDescent="0.3">
      <c r="B12" s="2" t="s">
        <v>17</v>
      </c>
      <c r="C12">
        <f>COUNTIF(AllUsers!E:E,"Member")</f>
        <v>0</v>
      </c>
      <c r="D12" t="e">
        <f>SUMPRODUCT((#REF!="Member")*(#REF!="True"))</f>
        <v>#REF!</v>
      </c>
      <c r="E12" t="e">
        <f>COUNTIFS(#REF!,"Member",#REF!,"&lt;&gt;")</f>
        <v>#REF!</v>
      </c>
      <c r="F12" t="e">
        <f>SUMPRODUCT((#REF!="Member")*(#REF!="True"))</f>
        <v>#REF!</v>
      </c>
    </row>
    <row r="13" spans="1:17" x14ac:dyDescent="0.3">
      <c r="B13" s="2" t="s">
        <v>18</v>
      </c>
      <c r="C13">
        <f>COUNTIF(AllUsers!E:E,"Guest")</f>
        <v>0</v>
      </c>
      <c r="D13" t="e">
        <f>SUMPRODUCT((#REF!="Guest")*(#REF!="True"))</f>
        <v>#REF!</v>
      </c>
      <c r="E13" t="e">
        <f>COUNTIFS(#REF!,"Guest",#REF!,"&lt;&gt;")</f>
        <v>#REF!</v>
      </c>
      <c r="F13" t="e">
        <f>SUMPRODUCT((#REF!="Guest")*(#REF!="True"))</f>
        <v>#REF!</v>
      </c>
    </row>
    <row r="14" spans="1:17" x14ac:dyDescent="0.3">
      <c r="B14" s="2" t="s">
        <v>19</v>
      </c>
      <c r="C14">
        <f>COUNTIF(Contacts!E:E,"MailContact")</f>
        <v>0</v>
      </c>
    </row>
    <row r="16" spans="1:17" x14ac:dyDescent="0.3">
      <c r="B16" s="9" t="s">
        <v>20</v>
      </c>
      <c r="C16" s="14" t="s">
        <v>21</v>
      </c>
    </row>
    <row r="17" spans="2:16" x14ac:dyDescent="0.3">
      <c r="B17" s="2" t="s">
        <v>22</v>
      </c>
      <c r="C17" s="3">
        <f>SUM(D32,D36,D40)</f>
        <v>0</v>
      </c>
    </row>
    <row r="18" spans="2:16" x14ac:dyDescent="0.3">
      <c r="B18" s="2" t="s">
        <v>23</v>
      </c>
      <c r="C18" s="3">
        <f>D45</f>
        <v>0</v>
      </c>
    </row>
    <row r="19" spans="2:16" x14ac:dyDescent="0.3">
      <c r="B19" s="2" t="s">
        <v>24</v>
      </c>
      <c r="C19" s="7">
        <f>D52</f>
        <v>0</v>
      </c>
    </row>
    <row r="20" spans="2:16" x14ac:dyDescent="0.3">
      <c r="C20" s="3">
        <f>SUM(C17:C19)</f>
        <v>0</v>
      </c>
    </row>
    <row r="26" spans="2:16" x14ac:dyDescent="0.3">
      <c r="B26" s="9" t="s">
        <v>25</v>
      </c>
      <c r="C26" s="8"/>
      <c r="D26" s="8"/>
      <c r="E26" s="8"/>
      <c r="F26" s="8"/>
      <c r="J26" s="9" t="s">
        <v>26</v>
      </c>
      <c r="K26" s="9"/>
      <c r="L26" s="9"/>
      <c r="M26" s="9"/>
      <c r="N26" s="9"/>
      <c r="O26" s="9"/>
      <c r="P26" s="9"/>
    </row>
    <row r="27" spans="2:16" x14ac:dyDescent="0.3">
      <c r="B27" s="15" t="s">
        <v>27</v>
      </c>
      <c r="C27" s="16" t="s">
        <v>28</v>
      </c>
      <c r="D27" s="16" t="s">
        <v>21</v>
      </c>
      <c r="E27" s="16" t="s">
        <v>29</v>
      </c>
      <c r="F27" s="16" t="s">
        <v>30</v>
      </c>
      <c r="J27" s="17" t="s">
        <v>27</v>
      </c>
      <c r="K27" s="16" t="s">
        <v>28</v>
      </c>
      <c r="L27" s="16" t="s">
        <v>31</v>
      </c>
      <c r="M27" s="16" t="s">
        <v>32</v>
      </c>
      <c r="N27" s="16" t="s">
        <v>33</v>
      </c>
      <c r="O27" s="16" t="s">
        <v>34</v>
      </c>
      <c r="P27" s="16"/>
    </row>
    <row r="28" spans="2:16" x14ac:dyDescent="0.3">
      <c r="B28" s="2" t="s">
        <v>35</v>
      </c>
      <c r="C28" s="10">
        <f>COUNTIF(AccountSummary!A:A,"UserMailbox")</f>
        <v>0</v>
      </c>
      <c r="D28" s="11" t="str">
        <f>_xlfn.LET(_xlpm.total,SUMIF(AccountSummary!A:A,"UserMailbox",AccountSummary!G:G)/1024,IF(C28&lt;1,"0",IF(ROUND(_xlpm.total,2)=0,0.01,_xlpm.total)))</f>
        <v>0</v>
      </c>
      <c r="E28" s="10" t="str">
        <f>IF(C28&lt;1,"0",SUMIF(AccountSummary!A:A,"UserMailbox",AccountSummary!F:F))</f>
        <v>0</v>
      </c>
      <c r="F28" s="10" t="e">
        <f>SUMPRODUCT((#REF!="UserMailbox")*(#REF!="True"))</f>
        <v>#REF!</v>
      </c>
      <c r="J28" s="2" t="s">
        <v>36</v>
      </c>
      <c r="K28">
        <f>COUNTIF(Devices!B:B,"Windows")</f>
        <v>0</v>
      </c>
      <c r="L28" t="e">
        <f>SUMPRODUCT((#REF!="Windows")*(#REF!="Entra Registered"))</f>
        <v>#REF!</v>
      </c>
      <c r="M28" t="e">
        <f>SUMPRODUCT((#REF!="Windows")*(#REF!="Entra Joined"))</f>
        <v>#REF!</v>
      </c>
      <c r="N28" t="e">
        <f>SUMPRODUCT((#REF!="Windows")*(#REF!="Entra Hybrid Joined"))</f>
        <v>#REF!</v>
      </c>
    </row>
    <row r="29" spans="2:16" x14ac:dyDescent="0.3">
      <c r="B29" s="2" t="s">
        <v>37</v>
      </c>
      <c r="C29" s="10">
        <f>COUNTIF(AccountSummary!A:A,"SharedMailbox")</f>
        <v>0</v>
      </c>
      <c r="D29" s="11" t="str">
        <f>_xlfn.LET(_xlpm.total,SUMIF(AccountSummary!A:A,"SharedMailbox",AccountSummary!G:G)/1024,IF(C29&lt;1,"0",IF(ROUND(_xlpm.total,2)=0,0.01,_xlpm.total)))</f>
        <v>0</v>
      </c>
      <c r="E29" s="10" t="str">
        <f>IF(C29&lt;1,"0",SUMIF(AccountSummary!A:A,"SharedMailbox",AccountSummary!F:F))</f>
        <v>0</v>
      </c>
      <c r="F29" s="10" t="e">
        <f>SUMPRODUCT((#REF!="SharedMailbox")*(#REF!="True"))</f>
        <v>#REF!</v>
      </c>
      <c r="J29" s="2" t="s">
        <v>38</v>
      </c>
      <c r="K29">
        <f>COUNTIF(Devices!B:B,"Windows")</f>
        <v>0</v>
      </c>
    </row>
    <row r="30" spans="2:16" x14ac:dyDescent="0.3">
      <c r="B30" s="2" t="s">
        <v>39</v>
      </c>
      <c r="C30" s="10">
        <f>COUNTIF(AccountSummary!A:A,"EquipmentMailbox")</f>
        <v>0</v>
      </c>
      <c r="D30" s="11" t="str">
        <f>_xlfn.LET(_xlpm.total,SUMIF(AccountSummary!A:A,"EquipmentMailbox",AccountSummary!G:G)/1024,IF(C30&lt;1,"0",IF(ROUND(_xlpm.total,2)=0,0.01,_xlpm.total)))</f>
        <v>0</v>
      </c>
      <c r="E30" s="10" t="str">
        <f>IF(C30&lt;1,"0",SUMIF(AccountSummary!A:A,"EquipmentMailbox",AccountSummary!F:F))</f>
        <v>0</v>
      </c>
      <c r="F30" s="10" t="e">
        <f>SUMPRODUCT((#REF!="EquipmentMailbox")*(#REF!="True"))</f>
        <v>#REF!</v>
      </c>
      <c r="J30" s="2" t="s">
        <v>40</v>
      </c>
      <c r="K30">
        <f>COUNTIF(Devices!B:B,"Windows")</f>
        <v>0</v>
      </c>
    </row>
    <row r="31" spans="2:16" x14ac:dyDescent="0.3">
      <c r="B31" s="2" t="s">
        <v>41</v>
      </c>
      <c r="C31" s="12">
        <f>COUNTIF(AccountSummary!A:A,"RoomMailbox")</f>
        <v>0</v>
      </c>
      <c r="D31" s="13" t="str">
        <f>_xlfn.LET(_xlpm.total,SUMIF(AccountSummary!A:A,"RoomMailbox",AccountSummary!G:G)/1024,IF(C31&lt;1,"0",IF(ROUND(_xlpm.total,2)=0,0.01,_xlpm.total)))</f>
        <v>0</v>
      </c>
      <c r="E31" s="12" t="str">
        <f>IF(C31&lt;1,"0",SUMIF(AccountSummary!A:A,"RoomMailbox",AccountSummary!F:F))</f>
        <v>0</v>
      </c>
      <c r="F31" s="10" t="e">
        <f>SUMPRODUCT((#REF!="RoomMailbox")*(#REF!="True"))</f>
        <v>#REF!</v>
      </c>
    </row>
    <row r="32" spans="2:16" x14ac:dyDescent="0.3">
      <c r="B32" s="2" t="s">
        <v>42</v>
      </c>
      <c r="C32" s="10">
        <f>SUM(C28:C31)</f>
        <v>0</v>
      </c>
      <c r="D32" s="11">
        <f t="shared" ref="D32:E32" si="0">SUM(D28:D31)</f>
        <v>0</v>
      </c>
      <c r="E32" s="10">
        <f t="shared" si="0"/>
        <v>0</v>
      </c>
      <c r="F32" s="10"/>
    </row>
    <row r="33" spans="2:6" x14ac:dyDescent="0.3">
      <c r="B33" s="2"/>
      <c r="C33" s="10"/>
      <c r="D33" s="11"/>
      <c r="E33" s="10"/>
      <c r="F33" s="10"/>
    </row>
    <row r="34" spans="2:6" x14ac:dyDescent="0.3">
      <c r="B34" s="2" t="s">
        <v>43</v>
      </c>
      <c r="C34" s="10">
        <f>COUNTIF(GroupSummary!A:A,"M365 Group")</f>
        <v>0</v>
      </c>
      <c r="D34" s="11" t="str">
        <f>_xlfn.LET(_xlpm.total,SUMIF(GroupSummary!A:A,"M365 Group",GroupSummary!F:F)/1024,IF(C28&lt;1,"0",IF(ROUND(_xlpm.total,2)=0,0.01,_xlpm.total)))</f>
        <v>0</v>
      </c>
      <c r="E34" s="10" t="str">
        <f>IF(C34&lt;1,"0",SUMIF(GroupSummary!A:A,"M365 Group",GroupSummary!E:E))</f>
        <v>0</v>
      </c>
      <c r="F34" s="10"/>
    </row>
    <row r="35" spans="2:6" x14ac:dyDescent="0.3">
      <c r="B35" s="2" t="s">
        <v>44</v>
      </c>
      <c r="C35" s="12">
        <f>COUNTIF(GroupSummary!A:A,"Team")</f>
        <v>0</v>
      </c>
      <c r="D35" s="13" t="str">
        <f>_xlfn.LET(_xlpm.total,SUMIF(GroupSummary!A:A,"Team",GroupSummary!F:F)/1024,IF(C29&lt;1,"0",IF(ROUND(_xlpm.total,2)=0,0.01,_xlpm.total)))</f>
        <v>0</v>
      </c>
      <c r="E35" s="12" t="str">
        <f>IF(C35&lt;1,"0",SUMIF(GroupSummary!A:A,"Team",GroupSummary!E:E))</f>
        <v>0</v>
      </c>
      <c r="F35" s="10"/>
    </row>
    <row r="36" spans="2:6" x14ac:dyDescent="0.3">
      <c r="B36" s="2" t="s">
        <v>45</v>
      </c>
      <c r="C36" s="10">
        <f>SUM(C34:C35)</f>
        <v>0</v>
      </c>
      <c r="D36" s="11">
        <f t="shared" ref="D36:E36" si="1">SUM(D34:D35)</f>
        <v>0</v>
      </c>
      <c r="E36" s="10">
        <f t="shared" si="1"/>
        <v>0</v>
      </c>
      <c r="F36" s="10"/>
    </row>
    <row r="37" spans="2:6" x14ac:dyDescent="0.3">
      <c r="B37" s="2"/>
      <c r="C37" s="10"/>
      <c r="D37" s="11"/>
      <c r="E37" s="10"/>
      <c r="F37" s="10"/>
    </row>
    <row r="38" spans="2:6" x14ac:dyDescent="0.3">
      <c r="B38" s="2" t="s">
        <v>46</v>
      </c>
      <c r="C38" s="10" t="e">
        <f>SUM(C32,C36,C40)</f>
        <v>#REF!</v>
      </c>
      <c r="D38" s="11">
        <f>SUM(D32,D36,D40)</f>
        <v>0</v>
      </c>
      <c r="E38" s="10">
        <f>SUM(E32,E36)</f>
        <v>0</v>
      </c>
      <c r="F38" s="10"/>
    </row>
    <row r="39" spans="2:6" x14ac:dyDescent="0.3">
      <c r="B39" s="2"/>
      <c r="C39" s="10"/>
      <c r="D39" s="11"/>
      <c r="E39" s="10"/>
      <c r="F39" s="10"/>
    </row>
    <row r="40" spans="2:6" x14ac:dyDescent="0.3">
      <c r="B40" s="2" t="s">
        <v>47</v>
      </c>
      <c r="C40" s="10" t="e">
        <f>SUMPRODUCT(--(LEN(TRIM(#REF!&amp;""))&gt;0))</f>
        <v>#REF!</v>
      </c>
      <c r="D40" s="11">
        <f>SUM(AccountSummary!H:H)</f>
        <v>0</v>
      </c>
      <c r="E40" s="10"/>
      <c r="F40" s="10"/>
    </row>
    <row r="43" spans="2:6" x14ac:dyDescent="0.3">
      <c r="B43" s="9" t="s">
        <v>23</v>
      </c>
      <c r="C43" s="9"/>
      <c r="D43" s="9"/>
    </row>
    <row r="44" spans="2:6" x14ac:dyDescent="0.3">
      <c r="B44" s="15" t="s">
        <v>27</v>
      </c>
      <c r="C44" s="16" t="s">
        <v>28</v>
      </c>
      <c r="D44" s="16" t="s">
        <v>21</v>
      </c>
    </row>
    <row r="45" spans="2:6" x14ac:dyDescent="0.3">
      <c r="B45" s="2" t="s">
        <v>48</v>
      </c>
      <c r="C45">
        <f>COUNTIF(OneDrives!F:F,"Active")</f>
        <v>0</v>
      </c>
      <c r="D45" s="3">
        <f>SUM(OneDrives!C:C)/1024</f>
        <v>0</v>
      </c>
    </row>
    <row r="47" spans="2:6" x14ac:dyDescent="0.3">
      <c r="B47" s="9" t="s">
        <v>49</v>
      </c>
      <c r="C47" s="9"/>
      <c r="D47" s="9"/>
    </row>
    <row r="48" spans="2:6" x14ac:dyDescent="0.3">
      <c r="B48" s="15" t="s">
        <v>27</v>
      </c>
      <c r="C48" s="16" t="s">
        <v>28</v>
      </c>
      <c r="D48" s="16" t="s">
        <v>21</v>
      </c>
    </row>
    <row r="49" spans="2:4" x14ac:dyDescent="0.3">
      <c r="B49" s="2" t="s">
        <v>24</v>
      </c>
      <c r="C49">
        <f>COUNTIF(SharePointSites!A:A,"SharePoint Site")</f>
        <v>0</v>
      </c>
      <c r="D49" s="3" t="str">
        <f>_xlfn.LET(_xlpm.total,SUMIF(SharePointSites!A:A,"SharePoint Site",SharePointSites!D:D)/1024,IF(C49&lt;1,"0",IF(ROUND(_xlpm.total,2)=0,0.01,_xlpm.total)))</f>
        <v>0</v>
      </c>
    </row>
    <row r="50" spans="2:4" x14ac:dyDescent="0.3">
      <c r="B50" s="2" t="s">
        <v>50</v>
      </c>
      <c r="C50">
        <f>COUNTIF(SharePointSites!A:A,"M365 Group")</f>
        <v>0</v>
      </c>
      <c r="D50" s="3" t="str">
        <f>_xlfn.LET(_xlpm.total,SUMIF(SharePointSites!A:A,"M365 Group",SharePointSites!D:D)/1024,IF(C50&lt;1,"0",IF(ROUND(_xlpm.total,2)=0,0.01,_xlpm.total)))</f>
        <v>0</v>
      </c>
    </row>
    <row r="51" spans="2:4" x14ac:dyDescent="0.3">
      <c r="B51" s="2" t="s">
        <v>51</v>
      </c>
      <c r="C51" s="6">
        <f>COUNTIF(SharePointSites!A:A,"Team")</f>
        <v>0</v>
      </c>
      <c r="D51" s="7" t="str">
        <f>_xlfn.LET(_xlpm.total,SUMIF(SharePointSites!A:A,"Team",SharePointSites!D:D)/1024,IF(C51&lt;1,"0",IF(ROUND(_xlpm.total,2)=0,0.01,_xlpm.total)))</f>
        <v>0</v>
      </c>
    </row>
    <row r="52" spans="2:4" x14ac:dyDescent="0.3">
      <c r="C52">
        <f>SUM(C49:C51)</f>
        <v>0</v>
      </c>
      <c r="D52" s="3">
        <f>SUM(D49:D51)</f>
        <v>0</v>
      </c>
    </row>
    <row r="53" spans="2:4" x14ac:dyDescent="0.3">
      <c r="D53" s="3"/>
    </row>
    <row r="54" spans="2:4" x14ac:dyDescent="0.3">
      <c r="B54" s="9" t="s">
        <v>52</v>
      </c>
      <c r="C54" s="9"/>
    </row>
    <row r="55" spans="2:4" x14ac:dyDescent="0.3">
      <c r="B55" s="15" t="s">
        <v>27</v>
      </c>
      <c r="C55" s="16" t="s">
        <v>28</v>
      </c>
    </row>
    <row r="56" spans="2:4" x14ac:dyDescent="0.3">
      <c r="B56" s="2" t="s">
        <v>53</v>
      </c>
      <c r="C56">
        <f>MAX(0,COUNTA(MailEnabledSecurityGroups!B:B)-1)</f>
        <v>0</v>
      </c>
    </row>
    <row r="57" spans="2:4" x14ac:dyDescent="0.3">
      <c r="B57" s="2" t="s">
        <v>54</v>
      </c>
      <c r="C57">
        <f>MAX(0,COUNTA(DistributionGroups!A:A)-1)</f>
        <v>0</v>
      </c>
    </row>
    <row r="58" spans="2:4" x14ac:dyDescent="0.3">
      <c r="B58" s="2" t="s">
        <v>55</v>
      </c>
      <c r="C58">
        <f>MAX(0,COUNTA(DynamicDistributionGroups!A:A)-1)</f>
        <v>0</v>
      </c>
    </row>
    <row r="59" spans="2:4" x14ac:dyDescent="0.3">
      <c r="B59" s="2" t="s">
        <v>56</v>
      </c>
      <c r="C59">
        <f>MAX(0,COUNTA(SecurityGroups!A:A)-1)</f>
        <v>0</v>
      </c>
    </row>
  </sheetData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39.109375" customWidth="1"/>
    <col min="2" max="2" width="30.109375" customWidth="1"/>
    <col min="3" max="3" width="55.44140625" customWidth="1"/>
    <col min="4" max="4" width="43.88671875" customWidth="1"/>
    <col min="5" max="5" width="12.109375" customWidth="1"/>
    <col min="6" max="6" width="16.77734375" customWidth="1"/>
    <col min="7" max="7" width="18.21875" customWidth="1"/>
    <col min="8" max="8" width="14.109375" customWidth="1"/>
    <col min="9" max="9" width="51.5546875" customWidth="1"/>
  </cols>
  <sheetData>
    <row r="1" spans="1:1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K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18.109375" customWidth="1"/>
    <col min="2" max="2" width="30.109375" customWidth="1"/>
    <col min="3" max="4" width="43.88671875" customWidth="1"/>
    <col min="5" max="5" width="9.109375" customWidth="1"/>
    <col min="6" max="6" width="10.21875" customWidth="1"/>
    <col min="7" max="7" width="17.33203125" customWidth="1"/>
    <col min="8" max="8" width="17" customWidth="1"/>
    <col min="9" max="9" width="15.21875" customWidth="1"/>
    <col min="10" max="10" width="51.5546875" customWidth="1"/>
    <col min="11" max="11" width="16.21875" customWidth="1"/>
    <col min="12" max="12" width="15.44140625" customWidth="1"/>
    <col min="13" max="13" width="17" customWidth="1"/>
    <col min="14" max="14" width="16.21875" customWidth="1"/>
    <col min="15" max="15" width="27.77734375" customWidth="1"/>
  </cols>
  <sheetData>
    <row r="1" spans="1:15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x14ac:dyDescent="0.3">
      <c r="K3" s="1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15.109375" bestFit="1" customWidth="1"/>
    <col min="2" max="2" width="17.77734375" bestFit="1" customWidth="1"/>
    <col min="3" max="3" width="14.77734375" bestFit="1" customWidth="1"/>
    <col min="4" max="4" width="14.44140625" bestFit="1" customWidth="1"/>
    <col min="5" max="5" width="14" bestFit="1" customWidth="1"/>
    <col min="6" max="6" width="15.109375" bestFit="1" customWidth="1"/>
    <col min="7" max="7" width="18.44140625" bestFit="1" customWidth="1"/>
    <col min="8" max="8" width="17.109375" bestFit="1" customWidth="1"/>
    <col min="9" max="9" width="31.109375" bestFit="1" customWidth="1"/>
    <col min="10" max="10" width="17.88671875" bestFit="1" customWidth="1"/>
  </cols>
  <sheetData>
    <row r="1" spans="1:10" x14ac:dyDescent="0.3">
      <c r="A1" s="2"/>
      <c r="B1" s="2"/>
      <c r="C1" s="2"/>
      <c r="D1" s="2"/>
      <c r="E1" s="2"/>
      <c r="F1" s="2"/>
      <c r="G1" s="2"/>
      <c r="H1" s="2"/>
      <c r="I1" s="2"/>
      <c r="J1" s="2"/>
    </row>
  </sheetData>
  <conditionalFormatting sqref="A1:A1048576">
    <cfRule type="duplicateValues" dxfId="8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0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12.5546875" bestFit="1" customWidth="1"/>
    <col min="2" max="2" width="27.44140625" customWidth="1"/>
    <col min="3" max="3" width="57.44140625" customWidth="1"/>
    <col min="4" max="4" width="17.21875" customWidth="1"/>
    <col min="5" max="5" width="9.109375" customWidth="1"/>
    <col min="6" max="6" width="10.21875" customWidth="1"/>
    <col min="7" max="7" width="13.88671875" customWidth="1"/>
    <col min="8" max="8" width="12.21875" customWidth="1"/>
    <col min="9" max="9" width="9.77734375" customWidth="1"/>
    <col min="10" max="10" width="67.21875" customWidth="1"/>
    <col min="11" max="11" width="11.33203125" customWidth="1"/>
    <col min="12" max="12" width="11.5546875" customWidth="1"/>
    <col min="13" max="13" width="16.77734375" customWidth="1"/>
  </cols>
  <sheetData>
    <row r="1" spans="1:13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G2" s="4"/>
      <c r="J2" s="1"/>
    </row>
    <row r="3" spans="1:13" x14ac:dyDescent="0.3">
      <c r="G3" s="4"/>
      <c r="J3" s="1"/>
    </row>
    <row r="4" spans="1:13" x14ac:dyDescent="0.3">
      <c r="G4" s="4"/>
      <c r="J4" s="1"/>
    </row>
    <row r="5" spans="1:13" x14ac:dyDescent="0.3">
      <c r="G5" s="4"/>
      <c r="J5" s="1"/>
    </row>
    <row r="6" spans="1:13" x14ac:dyDescent="0.3">
      <c r="G6" s="4"/>
      <c r="J6" s="1"/>
    </row>
    <row r="7" spans="1:13" x14ac:dyDescent="0.3">
      <c r="G7" s="4"/>
      <c r="J7" s="1"/>
    </row>
    <row r="8" spans="1:13" x14ac:dyDescent="0.3">
      <c r="G8" s="4"/>
      <c r="J8" s="1"/>
    </row>
    <row r="9" spans="1:13" x14ac:dyDescent="0.3">
      <c r="G9" s="4"/>
      <c r="J9" s="1"/>
    </row>
    <row r="10" spans="1:13" x14ac:dyDescent="0.3">
      <c r="G10" s="4"/>
      <c r="J10" s="1"/>
    </row>
    <row r="11" spans="1:13" x14ac:dyDescent="0.3">
      <c r="G11" s="4"/>
      <c r="J11" s="1"/>
    </row>
    <row r="12" spans="1:13" x14ac:dyDescent="0.3">
      <c r="G12" s="4"/>
      <c r="J12" s="1"/>
    </row>
    <row r="13" spans="1:13" x14ac:dyDescent="0.3">
      <c r="G13" s="4"/>
      <c r="J13" s="1"/>
    </row>
    <row r="14" spans="1:13" x14ac:dyDescent="0.3">
      <c r="G14" s="4"/>
      <c r="J14" s="1"/>
    </row>
    <row r="15" spans="1:13" x14ac:dyDescent="0.3">
      <c r="J15" s="1"/>
    </row>
    <row r="16" spans="1:1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31" spans="10:10" x14ac:dyDescent="0.3">
      <c r="J31" s="1"/>
    </row>
    <row r="32" spans="10:10" x14ac:dyDescent="0.3">
      <c r="J32" s="1"/>
    </row>
    <row r="33" spans="10:10" x14ac:dyDescent="0.3">
      <c r="J33" s="1"/>
    </row>
    <row r="34" spans="10:10" x14ac:dyDescent="0.3">
      <c r="J34" s="1"/>
    </row>
    <row r="35" spans="10:10" x14ac:dyDescent="0.3">
      <c r="J35" s="1"/>
    </row>
    <row r="36" spans="10:10" x14ac:dyDescent="0.3">
      <c r="J36" s="1"/>
    </row>
    <row r="37" spans="10:10" x14ac:dyDescent="0.3">
      <c r="J37" s="1"/>
    </row>
    <row r="38" spans="10:10" x14ac:dyDescent="0.3">
      <c r="J38" s="1"/>
    </row>
    <row r="39" spans="10:10" x14ac:dyDescent="0.3">
      <c r="J39" s="1"/>
    </row>
    <row r="40" spans="10:10" x14ac:dyDescent="0.3">
      <c r="J40" s="1"/>
    </row>
    <row r="41" spans="10:10" x14ac:dyDescent="0.3">
      <c r="J41" s="1"/>
    </row>
    <row r="42" spans="10:10" x14ac:dyDescent="0.3">
      <c r="J42" s="1"/>
    </row>
    <row r="43" spans="10:10" x14ac:dyDescent="0.3">
      <c r="J43" s="1"/>
    </row>
    <row r="44" spans="10:10" x14ac:dyDescent="0.3">
      <c r="J44" s="1"/>
    </row>
    <row r="45" spans="10:10" x14ac:dyDescent="0.3">
      <c r="J45" s="1"/>
    </row>
    <row r="46" spans="10:10" x14ac:dyDescent="0.3">
      <c r="J46" s="1"/>
    </row>
    <row r="47" spans="10:10" x14ac:dyDescent="0.3">
      <c r="J47" s="1"/>
    </row>
    <row r="48" spans="10:10" x14ac:dyDescent="0.3">
      <c r="J48" s="1"/>
    </row>
    <row r="49" spans="10:10" x14ac:dyDescent="0.3">
      <c r="J49" s="1"/>
    </row>
    <row r="50" spans="10:10" x14ac:dyDescent="0.3">
      <c r="J50" s="1"/>
    </row>
    <row r="51" spans="10:10" x14ac:dyDescent="0.3">
      <c r="J51" s="1"/>
    </row>
    <row r="52" spans="10:10" x14ac:dyDescent="0.3">
      <c r="J52" s="1"/>
    </row>
    <row r="53" spans="10:10" x14ac:dyDescent="0.3">
      <c r="J53" s="1"/>
    </row>
    <row r="54" spans="10:10" x14ac:dyDescent="0.3">
      <c r="J54" s="1"/>
    </row>
    <row r="55" spans="10:10" x14ac:dyDescent="0.3">
      <c r="J55" s="1"/>
    </row>
    <row r="56" spans="10:10" x14ac:dyDescent="0.3">
      <c r="J56" s="1"/>
    </row>
    <row r="57" spans="10:10" x14ac:dyDescent="0.3">
      <c r="J57" s="1"/>
    </row>
    <row r="58" spans="10:10" x14ac:dyDescent="0.3">
      <c r="J58" s="1"/>
    </row>
    <row r="59" spans="10:10" x14ac:dyDescent="0.3">
      <c r="J59" s="1"/>
    </row>
    <row r="60" spans="10:10" x14ac:dyDescent="0.3">
      <c r="J60" s="1"/>
    </row>
    <row r="61" spans="10:10" x14ac:dyDescent="0.3">
      <c r="J61" s="1"/>
    </row>
    <row r="62" spans="10:10" x14ac:dyDescent="0.3">
      <c r="J62" s="1"/>
    </row>
    <row r="63" spans="10:10" x14ac:dyDescent="0.3">
      <c r="J63" s="1"/>
    </row>
    <row r="64" spans="10:10" x14ac:dyDescent="0.3">
      <c r="J64" s="1"/>
    </row>
    <row r="65" spans="10:10" x14ac:dyDescent="0.3">
      <c r="J65" s="1"/>
    </row>
    <row r="66" spans="10:10" x14ac:dyDescent="0.3">
      <c r="J66" s="1"/>
    </row>
    <row r="67" spans="10:10" x14ac:dyDescent="0.3">
      <c r="J67" s="1"/>
    </row>
    <row r="68" spans="10:10" x14ac:dyDescent="0.3">
      <c r="J68" s="1"/>
    </row>
    <row r="69" spans="10:10" x14ac:dyDescent="0.3">
      <c r="J69" s="1"/>
    </row>
    <row r="70" spans="10:10" x14ac:dyDescent="0.3">
      <c r="J70" s="1"/>
    </row>
    <row r="71" spans="10:10" x14ac:dyDescent="0.3">
      <c r="J71" s="1"/>
    </row>
    <row r="72" spans="10:10" x14ac:dyDescent="0.3">
      <c r="J72" s="1"/>
    </row>
    <row r="73" spans="10:10" x14ac:dyDescent="0.3">
      <c r="J73" s="1"/>
    </row>
    <row r="74" spans="10:10" x14ac:dyDescent="0.3">
      <c r="J74" s="1"/>
    </row>
    <row r="75" spans="10:10" x14ac:dyDescent="0.3">
      <c r="J75" s="1"/>
    </row>
    <row r="76" spans="10:10" x14ac:dyDescent="0.3">
      <c r="J76" s="1"/>
    </row>
    <row r="77" spans="10:10" x14ac:dyDescent="0.3">
      <c r="J77" s="1"/>
    </row>
    <row r="78" spans="10:10" x14ac:dyDescent="0.3">
      <c r="J78" s="1"/>
    </row>
    <row r="79" spans="10:10" x14ac:dyDescent="0.3">
      <c r="J79" s="1"/>
    </row>
    <row r="80" spans="10:10" x14ac:dyDescent="0.3">
      <c r="J80" s="1"/>
    </row>
    <row r="81" spans="10:10" x14ac:dyDescent="0.3">
      <c r="J81" s="1"/>
    </row>
    <row r="82" spans="10:10" x14ac:dyDescent="0.3">
      <c r="J82" s="1"/>
    </row>
    <row r="83" spans="10:10" x14ac:dyDescent="0.3">
      <c r="J83" s="1"/>
    </row>
    <row r="84" spans="10:10" x14ac:dyDescent="0.3">
      <c r="J84" s="1"/>
    </row>
    <row r="85" spans="10:10" x14ac:dyDescent="0.3">
      <c r="J85" s="1"/>
    </row>
    <row r="86" spans="10:10" x14ac:dyDescent="0.3">
      <c r="J86" s="1"/>
    </row>
    <row r="87" spans="10:10" x14ac:dyDescent="0.3">
      <c r="J87" s="1"/>
    </row>
    <row r="88" spans="10:10" x14ac:dyDescent="0.3">
      <c r="J88" s="1"/>
    </row>
    <row r="89" spans="10:10" x14ac:dyDescent="0.3">
      <c r="J89" s="1"/>
    </row>
    <row r="90" spans="10:10" x14ac:dyDescent="0.3">
      <c r="J90" s="1"/>
    </row>
    <row r="91" spans="10:10" x14ac:dyDescent="0.3">
      <c r="J91" s="1"/>
    </row>
    <row r="92" spans="10:10" x14ac:dyDescent="0.3">
      <c r="J92" s="1"/>
    </row>
    <row r="93" spans="10:10" x14ac:dyDescent="0.3">
      <c r="J93" s="1"/>
    </row>
    <row r="94" spans="10:10" x14ac:dyDescent="0.3">
      <c r="J94" s="1"/>
    </row>
    <row r="95" spans="10:10" x14ac:dyDescent="0.3">
      <c r="J95" s="1"/>
    </row>
    <row r="96" spans="10:10" x14ac:dyDescent="0.3">
      <c r="J96" s="1"/>
    </row>
    <row r="97" spans="10:10" x14ac:dyDescent="0.3">
      <c r="J97" s="1"/>
    </row>
    <row r="98" spans="10:10" x14ac:dyDescent="0.3">
      <c r="J98" s="1"/>
    </row>
    <row r="99" spans="10:10" x14ac:dyDescent="0.3">
      <c r="J99" s="1"/>
    </row>
    <row r="100" spans="10:10" x14ac:dyDescent="0.3">
      <c r="J100" s="1"/>
    </row>
    <row r="101" spans="10:10" x14ac:dyDescent="0.3">
      <c r="J101" s="1"/>
    </row>
    <row r="102" spans="10:10" x14ac:dyDescent="0.3">
      <c r="J102" s="1"/>
    </row>
    <row r="103" spans="10:10" x14ac:dyDescent="0.3">
      <c r="J103" s="1"/>
    </row>
    <row r="104" spans="10:10" x14ac:dyDescent="0.3">
      <c r="J104" s="1"/>
    </row>
    <row r="105" spans="10:10" x14ac:dyDescent="0.3">
      <c r="J105" s="1"/>
    </row>
    <row r="106" spans="10:10" x14ac:dyDescent="0.3">
      <c r="J106" s="1"/>
    </row>
    <row r="107" spans="10:10" x14ac:dyDescent="0.3">
      <c r="J107" s="1"/>
    </row>
    <row r="108" spans="10:10" x14ac:dyDescent="0.3">
      <c r="J108" s="1"/>
    </row>
    <row r="109" spans="10:10" x14ac:dyDescent="0.3">
      <c r="J109" s="1"/>
    </row>
    <row r="110" spans="10:10" x14ac:dyDescent="0.3">
      <c r="J110" s="1"/>
    </row>
  </sheetData>
  <conditionalFormatting sqref="A1:A1048576">
    <cfRule type="cellIs" dxfId="7" priority="1" operator="equal">
      <formula>"M365 Group"</formula>
    </cfRule>
    <cfRule type="cellIs" dxfId="6" priority="2" operator="equal">
      <formula>"SharePoint Site"</formula>
    </cfRule>
    <cfRule type="cellIs" dxfId="5" priority="3" operator="equal">
      <formula>"Teams Channel"</formula>
    </cfRule>
    <cfRule type="cellIs" dxfId="4" priority="4" operator="equal">
      <formula>"Team"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55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12.6640625" customWidth="1"/>
    <col min="2" max="2" width="22.44140625" customWidth="1"/>
    <col min="3" max="3" width="13.6640625" customWidth="1"/>
    <col min="4" max="4" width="12.33203125" customWidth="1"/>
    <col min="5" max="5" width="20" customWidth="1"/>
    <col min="6" max="6" width="9.21875" customWidth="1"/>
    <col min="7" max="7" width="27.88671875" customWidth="1"/>
    <col min="8" max="8" width="67.44140625" customWidth="1"/>
  </cols>
  <sheetData>
    <row r="1" spans="1:8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H2" s="1"/>
    </row>
    <row r="3" spans="1:8" x14ac:dyDescent="0.3">
      <c r="H3" s="1"/>
    </row>
    <row r="4" spans="1:8" x14ac:dyDescent="0.3">
      <c r="H4" s="1"/>
    </row>
    <row r="5" spans="1:8" x14ac:dyDescent="0.3">
      <c r="H5" s="1"/>
    </row>
    <row r="6" spans="1:8" x14ac:dyDescent="0.3">
      <c r="H6" s="1"/>
    </row>
    <row r="7" spans="1:8" x14ac:dyDescent="0.3">
      <c r="H7" s="1"/>
    </row>
    <row r="8" spans="1:8" x14ac:dyDescent="0.3">
      <c r="H8" s="1"/>
    </row>
    <row r="9" spans="1:8" x14ac:dyDescent="0.3">
      <c r="H9" s="1"/>
    </row>
    <row r="10" spans="1:8" x14ac:dyDescent="0.3">
      <c r="H10" s="1"/>
    </row>
    <row r="11" spans="1:8" x14ac:dyDescent="0.3">
      <c r="H11" s="1"/>
    </row>
    <row r="12" spans="1:8" x14ac:dyDescent="0.3">
      <c r="H12" s="1"/>
    </row>
    <row r="13" spans="1:8" x14ac:dyDescent="0.3">
      <c r="H13" s="1"/>
    </row>
    <row r="14" spans="1:8" x14ac:dyDescent="0.3">
      <c r="H14" s="1"/>
    </row>
    <row r="15" spans="1:8" x14ac:dyDescent="0.3">
      <c r="H15" s="1"/>
    </row>
    <row r="16" spans="1:8" x14ac:dyDescent="0.3">
      <c r="H16" s="1"/>
    </row>
    <row r="17" spans="8:8" x14ac:dyDescent="0.3">
      <c r="H17" s="1"/>
    </row>
    <row r="18" spans="8:8" x14ac:dyDescent="0.3">
      <c r="H18" s="1"/>
    </row>
    <row r="19" spans="8:8" x14ac:dyDescent="0.3">
      <c r="H19" s="1"/>
    </row>
    <row r="20" spans="8:8" x14ac:dyDescent="0.3">
      <c r="H20" s="1"/>
    </row>
    <row r="21" spans="8:8" x14ac:dyDescent="0.3">
      <c r="H21" s="1"/>
    </row>
    <row r="22" spans="8:8" x14ac:dyDescent="0.3">
      <c r="H22" s="1"/>
    </row>
    <row r="23" spans="8:8" x14ac:dyDescent="0.3">
      <c r="H23" s="1"/>
    </row>
    <row r="24" spans="8:8" x14ac:dyDescent="0.3">
      <c r="H24" s="1"/>
    </row>
    <row r="25" spans="8:8" x14ac:dyDescent="0.3">
      <c r="H25" s="1"/>
    </row>
    <row r="26" spans="8:8" x14ac:dyDescent="0.3">
      <c r="H26" s="1"/>
    </row>
    <row r="27" spans="8:8" x14ac:dyDescent="0.3">
      <c r="H27" s="1"/>
    </row>
    <row r="28" spans="8:8" x14ac:dyDescent="0.3">
      <c r="H28" s="1"/>
    </row>
    <row r="29" spans="8:8" x14ac:dyDescent="0.3">
      <c r="H29" s="1"/>
    </row>
    <row r="30" spans="8:8" x14ac:dyDescent="0.3">
      <c r="H30" s="1"/>
    </row>
    <row r="31" spans="8:8" x14ac:dyDescent="0.3">
      <c r="H31" s="1"/>
    </row>
    <row r="32" spans="8:8" x14ac:dyDescent="0.3">
      <c r="H32" s="1"/>
    </row>
    <row r="33" spans="8:8" x14ac:dyDescent="0.3">
      <c r="H33" s="1"/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  <row r="43" spans="8:8" x14ac:dyDescent="0.3">
      <c r="H43" s="1"/>
    </row>
    <row r="44" spans="8:8" x14ac:dyDescent="0.3">
      <c r="H44" s="1"/>
    </row>
    <row r="45" spans="8:8" x14ac:dyDescent="0.3">
      <c r="H45" s="1"/>
    </row>
    <row r="46" spans="8:8" x14ac:dyDescent="0.3">
      <c r="H46" s="1"/>
    </row>
    <row r="47" spans="8:8" x14ac:dyDescent="0.3">
      <c r="H47" s="1"/>
    </row>
    <row r="48" spans="8:8" x14ac:dyDescent="0.3">
      <c r="H48" s="1"/>
    </row>
    <row r="49" spans="8:8" x14ac:dyDescent="0.3">
      <c r="H49" s="1"/>
    </row>
    <row r="50" spans="8:8" x14ac:dyDescent="0.3">
      <c r="H50" s="1"/>
    </row>
    <row r="51" spans="8:8" x14ac:dyDescent="0.3">
      <c r="H51" s="1"/>
    </row>
    <row r="52" spans="8:8" x14ac:dyDescent="0.3">
      <c r="H52" s="1"/>
    </row>
    <row r="53" spans="8:8" x14ac:dyDescent="0.3">
      <c r="H53" s="1"/>
    </row>
    <row r="54" spans="8:8" x14ac:dyDescent="0.3">
      <c r="H54" s="1"/>
    </row>
    <row r="55" spans="8:8" x14ac:dyDescent="0.3">
      <c r="H55" s="1"/>
    </row>
    <row r="56" spans="8:8" x14ac:dyDescent="0.3">
      <c r="H56" s="1"/>
    </row>
    <row r="57" spans="8:8" x14ac:dyDescent="0.3">
      <c r="H57" s="1"/>
    </row>
    <row r="58" spans="8:8" x14ac:dyDescent="0.3">
      <c r="H58" s="1"/>
    </row>
    <row r="59" spans="8:8" x14ac:dyDescent="0.3">
      <c r="H59" s="1"/>
    </row>
    <row r="60" spans="8:8" x14ac:dyDescent="0.3">
      <c r="H60" s="1"/>
    </row>
    <row r="61" spans="8:8" x14ac:dyDescent="0.3">
      <c r="H61" s="1"/>
    </row>
    <row r="62" spans="8:8" x14ac:dyDescent="0.3">
      <c r="H62" s="1"/>
    </row>
    <row r="63" spans="8:8" x14ac:dyDescent="0.3">
      <c r="H63" s="1"/>
    </row>
    <row r="64" spans="8:8" x14ac:dyDescent="0.3">
      <c r="H64" s="1"/>
    </row>
    <row r="65" spans="8:8" x14ac:dyDescent="0.3">
      <c r="H65" s="1"/>
    </row>
    <row r="66" spans="8:8" x14ac:dyDescent="0.3">
      <c r="H66" s="1"/>
    </row>
    <row r="67" spans="8:8" x14ac:dyDescent="0.3">
      <c r="H67" s="1"/>
    </row>
    <row r="68" spans="8:8" x14ac:dyDescent="0.3">
      <c r="H68" s="1"/>
    </row>
    <row r="69" spans="8:8" x14ac:dyDescent="0.3">
      <c r="H69" s="1"/>
    </row>
    <row r="70" spans="8:8" x14ac:dyDescent="0.3">
      <c r="H70" s="1"/>
    </row>
    <row r="71" spans="8:8" x14ac:dyDescent="0.3">
      <c r="H71" s="1"/>
    </row>
    <row r="72" spans="8:8" x14ac:dyDescent="0.3">
      <c r="H72" s="1"/>
    </row>
    <row r="73" spans="8:8" x14ac:dyDescent="0.3">
      <c r="H73" s="1"/>
    </row>
    <row r="74" spans="8:8" x14ac:dyDescent="0.3">
      <c r="H74" s="1"/>
    </row>
    <row r="75" spans="8:8" x14ac:dyDescent="0.3">
      <c r="H75" s="1"/>
    </row>
    <row r="76" spans="8:8" x14ac:dyDescent="0.3">
      <c r="H76" s="1"/>
    </row>
    <row r="77" spans="8:8" x14ac:dyDescent="0.3">
      <c r="H77" s="1"/>
    </row>
    <row r="78" spans="8:8" x14ac:dyDescent="0.3">
      <c r="H78" s="1"/>
    </row>
    <row r="79" spans="8:8" x14ac:dyDescent="0.3">
      <c r="H79" s="1"/>
    </row>
    <row r="80" spans="8:8" x14ac:dyDescent="0.3">
      <c r="H80" s="1"/>
    </row>
    <row r="81" spans="8:8" x14ac:dyDescent="0.3">
      <c r="H81" s="1"/>
    </row>
    <row r="82" spans="8:8" x14ac:dyDescent="0.3">
      <c r="H82" s="1"/>
    </row>
    <row r="83" spans="8:8" x14ac:dyDescent="0.3">
      <c r="H83" s="1"/>
    </row>
    <row r="84" spans="8:8" x14ac:dyDescent="0.3">
      <c r="H84" s="1"/>
    </row>
    <row r="85" spans="8:8" x14ac:dyDescent="0.3">
      <c r="H85" s="1"/>
    </row>
    <row r="86" spans="8:8" x14ac:dyDescent="0.3">
      <c r="H86" s="1"/>
    </row>
    <row r="87" spans="8:8" x14ac:dyDescent="0.3">
      <c r="H87" s="1"/>
    </row>
    <row r="88" spans="8:8" x14ac:dyDescent="0.3">
      <c r="H88" s="1"/>
    </row>
    <row r="89" spans="8:8" x14ac:dyDescent="0.3">
      <c r="H89" s="1"/>
    </row>
    <row r="90" spans="8:8" x14ac:dyDescent="0.3">
      <c r="H90" s="1"/>
    </row>
    <row r="91" spans="8:8" x14ac:dyDescent="0.3">
      <c r="H91" s="1"/>
    </row>
    <row r="92" spans="8:8" x14ac:dyDescent="0.3">
      <c r="H92" s="1"/>
    </row>
    <row r="93" spans="8:8" x14ac:dyDescent="0.3">
      <c r="H93" s="1"/>
    </row>
    <row r="94" spans="8:8" x14ac:dyDescent="0.3">
      <c r="H94" s="1"/>
    </row>
    <row r="95" spans="8:8" x14ac:dyDescent="0.3">
      <c r="H95" s="1"/>
    </row>
    <row r="96" spans="8:8" x14ac:dyDescent="0.3">
      <c r="H96" s="1"/>
    </row>
    <row r="97" spans="8:8" x14ac:dyDescent="0.3">
      <c r="H97" s="1"/>
    </row>
    <row r="98" spans="8:8" x14ac:dyDescent="0.3">
      <c r="H98" s="1"/>
    </row>
    <row r="99" spans="8:8" x14ac:dyDescent="0.3">
      <c r="H99" s="1"/>
    </row>
    <row r="100" spans="8:8" x14ac:dyDescent="0.3">
      <c r="H100" s="1"/>
    </row>
    <row r="101" spans="8:8" x14ac:dyDescent="0.3">
      <c r="H101" s="1"/>
    </row>
    <row r="102" spans="8:8" x14ac:dyDescent="0.3">
      <c r="H102" s="1"/>
    </row>
    <row r="103" spans="8:8" x14ac:dyDescent="0.3">
      <c r="H103" s="1"/>
    </row>
    <row r="104" spans="8:8" x14ac:dyDescent="0.3">
      <c r="H104" s="1"/>
    </row>
    <row r="105" spans="8:8" x14ac:dyDescent="0.3">
      <c r="H105" s="1"/>
    </row>
    <row r="106" spans="8:8" x14ac:dyDescent="0.3">
      <c r="H106" s="1"/>
    </row>
    <row r="107" spans="8:8" x14ac:dyDescent="0.3">
      <c r="H107" s="1"/>
    </row>
    <row r="108" spans="8:8" x14ac:dyDescent="0.3">
      <c r="H108" s="1"/>
    </row>
    <row r="109" spans="8:8" x14ac:dyDescent="0.3">
      <c r="H109" s="1"/>
    </row>
    <row r="110" spans="8:8" x14ac:dyDescent="0.3">
      <c r="H110" s="1"/>
    </row>
    <row r="111" spans="8:8" x14ac:dyDescent="0.3">
      <c r="H111" s="1"/>
    </row>
    <row r="112" spans="8:8" x14ac:dyDescent="0.3">
      <c r="H112" s="1"/>
    </row>
    <row r="113" spans="8:8" x14ac:dyDescent="0.3">
      <c r="H113" s="1"/>
    </row>
    <row r="114" spans="8:8" x14ac:dyDescent="0.3">
      <c r="H114" s="1"/>
    </row>
    <row r="115" spans="8:8" x14ac:dyDescent="0.3">
      <c r="H115" s="1"/>
    </row>
    <row r="116" spans="8:8" x14ac:dyDescent="0.3">
      <c r="H116" s="1"/>
    </row>
    <row r="117" spans="8:8" x14ac:dyDescent="0.3">
      <c r="H117" s="1"/>
    </row>
    <row r="118" spans="8:8" x14ac:dyDescent="0.3">
      <c r="H118" s="1"/>
    </row>
    <row r="119" spans="8:8" x14ac:dyDescent="0.3">
      <c r="H119" s="1"/>
    </row>
    <row r="120" spans="8:8" x14ac:dyDescent="0.3">
      <c r="H120" s="1"/>
    </row>
    <row r="121" spans="8:8" x14ac:dyDescent="0.3">
      <c r="H121" s="1"/>
    </row>
    <row r="122" spans="8:8" x14ac:dyDescent="0.3">
      <c r="H122" s="1"/>
    </row>
    <row r="123" spans="8:8" x14ac:dyDescent="0.3">
      <c r="H123" s="1"/>
    </row>
    <row r="124" spans="8:8" x14ac:dyDescent="0.3">
      <c r="H124" s="1"/>
    </row>
    <row r="125" spans="8:8" x14ac:dyDescent="0.3">
      <c r="H125" s="1"/>
    </row>
    <row r="126" spans="8:8" x14ac:dyDescent="0.3">
      <c r="H126" s="1"/>
    </row>
    <row r="127" spans="8:8" x14ac:dyDescent="0.3">
      <c r="H127" s="1"/>
    </row>
    <row r="128" spans="8:8" x14ac:dyDescent="0.3">
      <c r="H128" s="1"/>
    </row>
    <row r="129" spans="8:8" x14ac:dyDescent="0.3">
      <c r="H129" s="1"/>
    </row>
    <row r="130" spans="8:8" x14ac:dyDescent="0.3">
      <c r="H130" s="1"/>
    </row>
    <row r="131" spans="8:8" x14ac:dyDescent="0.3">
      <c r="H131" s="1"/>
    </row>
    <row r="132" spans="8:8" x14ac:dyDescent="0.3">
      <c r="H132" s="1"/>
    </row>
    <row r="133" spans="8:8" x14ac:dyDescent="0.3">
      <c r="H133" s="1"/>
    </row>
    <row r="134" spans="8:8" x14ac:dyDescent="0.3">
      <c r="H134" s="1"/>
    </row>
    <row r="135" spans="8:8" x14ac:dyDescent="0.3">
      <c r="H135" s="1"/>
    </row>
    <row r="136" spans="8:8" x14ac:dyDescent="0.3">
      <c r="H136" s="1"/>
    </row>
    <row r="137" spans="8:8" x14ac:dyDescent="0.3">
      <c r="H137" s="1"/>
    </row>
    <row r="138" spans="8:8" x14ac:dyDescent="0.3">
      <c r="H138" s="1"/>
    </row>
    <row r="139" spans="8:8" x14ac:dyDescent="0.3">
      <c r="H139" s="1"/>
    </row>
    <row r="140" spans="8:8" x14ac:dyDescent="0.3">
      <c r="H140" s="1"/>
    </row>
    <row r="141" spans="8:8" x14ac:dyDescent="0.3">
      <c r="H141" s="1"/>
    </row>
    <row r="142" spans="8:8" x14ac:dyDescent="0.3">
      <c r="H142" s="1"/>
    </row>
    <row r="143" spans="8:8" x14ac:dyDescent="0.3">
      <c r="H143" s="1"/>
    </row>
    <row r="144" spans="8:8" x14ac:dyDescent="0.3">
      <c r="H144" s="1"/>
    </row>
    <row r="145" spans="8:8" x14ac:dyDescent="0.3">
      <c r="H145" s="1"/>
    </row>
    <row r="146" spans="8:8" x14ac:dyDescent="0.3">
      <c r="H146" s="1"/>
    </row>
    <row r="147" spans="8:8" x14ac:dyDescent="0.3">
      <c r="H147" s="1"/>
    </row>
    <row r="148" spans="8:8" x14ac:dyDescent="0.3">
      <c r="H148" s="1"/>
    </row>
    <row r="149" spans="8:8" x14ac:dyDescent="0.3">
      <c r="H149" s="1"/>
    </row>
    <row r="150" spans="8:8" x14ac:dyDescent="0.3">
      <c r="H150" s="1"/>
    </row>
    <row r="151" spans="8:8" x14ac:dyDescent="0.3">
      <c r="H151" s="1"/>
    </row>
    <row r="152" spans="8:8" x14ac:dyDescent="0.3">
      <c r="H152" s="1"/>
    </row>
    <row r="153" spans="8:8" x14ac:dyDescent="0.3">
      <c r="H153" s="1"/>
    </row>
    <row r="154" spans="8:8" x14ac:dyDescent="0.3">
      <c r="H154" s="1"/>
    </row>
    <row r="155" spans="8:8" x14ac:dyDescent="0.3">
      <c r="H155" s="1"/>
    </row>
    <row r="156" spans="8:8" x14ac:dyDescent="0.3">
      <c r="H156" s="1"/>
    </row>
    <row r="157" spans="8:8" x14ac:dyDescent="0.3">
      <c r="H157" s="1"/>
    </row>
    <row r="158" spans="8:8" x14ac:dyDescent="0.3">
      <c r="H158" s="1"/>
    </row>
    <row r="159" spans="8:8" x14ac:dyDescent="0.3">
      <c r="H159" s="1"/>
    </row>
    <row r="160" spans="8:8" x14ac:dyDescent="0.3">
      <c r="H160" s="1"/>
    </row>
    <row r="161" spans="8:8" x14ac:dyDescent="0.3">
      <c r="H161" s="1"/>
    </row>
    <row r="162" spans="8:8" x14ac:dyDescent="0.3">
      <c r="H162" s="1"/>
    </row>
    <row r="163" spans="8:8" x14ac:dyDescent="0.3">
      <c r="H163" s="1"/>
    </row>
    <row r="164" spans="8:8" x14ac:dyDescent="0.3">
      <c r="H164" s="1"/>
    </row>
    <row r="165" spans="8:8" x14ac:dyDescent="0.3">
      <c r="H165" s="1"/>
    </row>
    <row r="166" spans="8:8" x14ac:dyDescent="0.3">
      <c r="H166" s="1"/>
    </row>
    <row r="167" spans="8:8" x14ac:dyDescent="0.3">
      <c r="H167" s="1"/>
    </row>
    <row r="168" spans="8:8" x14ac:dyDescent="0.3">
      <c r="H168" s="1"/>
    </row>
    <row r="169" spans="8:8" x14ac:dyDescent="0.3">
      <c r="H169" s="1"/>
    </row>
    <row r="170" spans="8:8" x14ac:dyDescent="0.3">
      <c r="H170" s="1"/>
    </row>
    <row r="171" spans="8:8" x14ac:dyDescent="0.3">
      <c r="H171" s="1"/>
    </row>
    <row r="172" spans="8:8" x14ac:dyDescent="0.3">
      <c r="H172" s="1"/>
    </row>
    <row r="173" spans="8:8" x14ac:dyDescent="0.3">
      <c r="H173" s="1"/>
    </row>
    <row r="174" spans="8:8" x14ac:dyDescent="0.3">
      <c r="H174" s="1"/>
    </row>
    <row r="175" spans="8:8" x14ac:dyDescent="0.3">
      <c r="H175" s="1"/>
    </row>
    <row r="176" spans="8:8" x14ac:dyDescent="0.3">
      <c r="H176" s="1"/>
    </row>
    <row r="177" spans="8:8" x14ac:dyDescent="0.3">
      <c r="H177" s="1"/>
    </row>
    <row r="178" spans="8:8" x14ac:dyDescent="0.3">
      <c r="H178" s="1"/>
    </row>
    <row r="179" spans="8:8" x14ac:dyDescent="0.3">
      <c r="H179" s="1"/>
    </row>
    <row r="180" spans="8:8" x14ac:dyDescent="0.3">
      <c r="H180" s="1"/>
    </row>
    <row r="181" spans="8:8" x14ac:dyDescent="0.3">
      <c r="H181" s="1"/>
    </row>
    <row r="182" spans="8:8" x14ac:dyDescent="0.3">
      <c r="H182" s="1"/>
    </row>
    <row r="183" spans="8:8" x14ac:dyDescent="0.3">
      <c r="H183" s="1"/>
    </row>
    <row r="184" spans="8:8" x14ac:dyDescent="0.3">
      <c r="H184" s="1"/>
    </row>
    <row r="185" spans="8:8" x14ac:dyDescent="0.3">
      <c r="H185" s="1"/>
    </row>
    <row r="186" spans="8:8" x14ac:dyDescent="0.3">
      <c r="H186" s="1"/>
    </row>
    <row r="187" spans="8:8" x14ac:dyDescent="0.3">
      <c r="H187" s="1"/>
    </row>
    <row r="188" spans="8:8" x14ac:dyDescent="0.3">
      <c r="H188" s="1"/>
    </row>
    <row r="189" spans="8:8" x14ac:dyDescent="0.3">
      <c r="H189" s="1"/>
    </row>
    <row r="190" spans="8:8" x14ac:dyDescent="0.3">
      <c r="H190" s="1"/>
    </row>
    <row r="191" spans="8:8" x14ac:dyDescent="0.3">
      <c r="H191" s="1"/>
    </row>
    <row r="192" spans="8:8" x14ac:dyDescent="0.3">
      <c r="H192" s="1"/>
    </row>
    <row r="193" spans="8:8" x14ac:dyDescent="0.3">
      <c r="H193" s="1"/>
    </row>
    <row r="194" spans="8:8" x14ac:dyDescent="0.3">
      <c r="H194" s="1"/>
    </row>
    <row r="195" spans="8:8" x14ac:dyDescent="0.3">
      <c r="H195" s="1"/>
    </row>
    <row r="196" spans="8:8" x14ac:dyDescent="0.3">
      <c r="H196" s="1"/>
    </row>
    <row r="197" spans="8:8" x14ac:dyDescent="0.3">
      <c r="H197" s="1"/>
    </row>
    <row r="198" spans="8:8" x14ac:dyDescent="0.3">
      <c r="H198" s="1"/>
    </row>
    <row r="199" spans="8:8" x14ac:dyDescent="0.3">
      <c r="H199" s="1"/>
    </row>
    <row r="200" spans="8:8" x14ac:dyDescent="0.3">
      <c r="H200" s="1"/>
    </row>
    <row r="201" spans="8:8" x14ac:dyDescent="0.3">
      <c r="H201" s="1"/>
    </row>
    <row r="202" spans="8:8" x14ac:dyDescent="0.3">
      <c r="H202" s="1"/>
    </row>
    <row r="203" spans="8:8" x14ac:dyDescent="0.3">
      <c r="H203" s="1"/>
    </row>
    <row r="204" spans="8:8" x14ac:dyDescent="0.3">
      <c r="H204" s="1"/>
    </row>
    <row r="205" spans="8:8" x14ac:dyDescent="0.3">
      <c r="H205" s="1"/>
    </row>
    <row r="206" spans="8:8" x14ac:dyDescent="0.3">
      <c r="H206" s="1"/>
    </row>
    <row r="207" spans="8:8" x14ac:dyDescent="0.3">
      <c r="H207" s="1"/>
    </row>
    <row r="208" spans="8:8" x14ac:dyDescent="0.3">
      <c r="H208" s="1"/>
    </row>
    <row r="209" spans="8:8" x14ac:dyDescent="0.3">
      <c r="H209" s="1"/>
    </row>
    <row r="210" spans="8:8" x14ac:dyDescent="0.3">
      <c r="H210" s="1"/>
    </row>
    <row r="211" spans="8:8" x14ac:dyDescent="0.3">
      <c r="H211" s="1"/>
    </row>
    <row r="212" spans="8:8" x14ac:dyDescent="0.3">
      <c r="H212" s="1"/>
    </row>
    <row r="213" spans="8:8" x14ac:dyDescent="0.3">
      <c r="H213" s="1"/>
    </row>
    <row r="214" spans="8:8" x14ac:dyDescent="0.3">
      <c r="H214" s="1"/>
    </row>
    <row r="215" spans="8:8" x14ac:dyDescent="0.3">
      <c r="H215" s="1"/>
    </row>
    <row r="216" spans="8:8" x14ac:dyDescent="0.3">
      <c r="H216" s="1"/>
    </row>
    <row r="217" spans="8:8" x14ac:dyDescent="0.3">
      <c r="H217" s="1"/>
    </row>
    <row r="218" spans="8:8" x14ac:dyDescent="0.3">
      <c r="H218" s="1"/>
    </row>
    <row r="219" spans="8:8" x14ac:dyDescent="0.3">
      <c r="H219" s="1"/>
    </row>
    <row r="220" spans="8:8" x14ac:dyDescent="0.3">
      <c r="H220" s="1"/>
    </row>
    <row r="221" spans="8:8" x14ac:dyDescent="0.3">
      <c r="H221" s="1"/>
    </row>
    <row r="222" spans="8:8" x14ac:dyDescent="0.3">
      <c r="H222" s="1"/>
    </row>
    <row r="223" spans="8:8" x14ac:dyDescent="0.3">
      <c r="H223" s="1"/>
    </row>
    <row r="224" spans="8:8" x14ac:dyDescent="0.3">
      <c r="H224" s="1"/>
    </row>
    <row r="225" spans="8:8" x14ac:dyDescent="0.3">
      <c r="H225" s="1"/>
    </row>
    <row r="226" spans="8:8" x14ac:dyDescent="0.3">
      <c r="H226" s="1"/>
    </row>
    <row r="227" spans="8:8" x14ac:dyDescent="0.3">
      <c r="H227" s="1"/>
    </row>
    <row r="228" spans="8:8" x14ac:dyDescent="0.3">
      <c r="H228" s="1"/>
    </row>
    <row r="229" spans="8:8" x14ac:dyDescent="0.3">
      <c r="H229" s="1"/>
    </row>
    <row r="230" spans="8:8" x14ac:dyDescent="0.3">
      <c r="H230" s="1"/>
    </row>
    <row r="231" spans="8:8" x14ac:dyDescent="0.3">
      <c r="H231" s="1"/>
    </row>
    <row r="232" spans="8:8" x14ac:dyDescent="0.3">
      <c r="H232" s="1"/>
    </row>
    <row r="233" spans="8:8" x14ac:dyDescent="0.3">
      <c r="H233" s="1"/>
    </row>
    <row r="234" spans="8:8" x14ac:dyDescent="0.3">
      <c r="H234" s="1"/>
    </row>
    <row r="235" spans="8:8" x14ac:dyDescent="0.3">
      <c r="H235" s="1"/>
    </row>
    <row r="236" spans="8:8" x14ac:dyDescent="0.3">
      <c r="H236" s="1"/>
    </row>
    <row r="237" spans="8:8" x14ac:dyDescent="0.3">
      <c r="H237" s="1"/>
    </row>
    <row r="238" spans="8:8" x14ac:dyDescent="0.3">
      <c r="H238" s="1"/>
    </row>
    <row r="239" spans="8:8" x14ac:dyDescent="0.3">
      <c r="H239" s="1"/>
    </row>
    <row r="240" spans="8:8" x14ac:dyDescent="0.3">
      <c r="H240" s="1"/>
    </row>
    <row r="241" spans="8:8" x14ac:dyDescent="0.3">
      <c r="H241" s="1"/>
    </row>
    <row r="242" spans="8:8" x14ac:dyDescent="0.3">
      <c r="H242" s="1"/>
    </row>
    <row r="243" spans="8:8" x14ac:dyDescent="0.3">
      <c r="H243" s="1"/>
    </row>
    <row r="244" spans="8:8" x14ac:dyDescent="0.3">
      <c r="H244" s="1"/>
    </row>
    <row r="245" spans="8:8" x14ac:dyDescent="0.3">
      <c r="H245" s="1"/>
    </row>
    <row r="246" spans="8:8" x14ac:dyDescent="0.3">
      <c r="H246" s="1"/>
    </row>
    <row r="247" spans="8:8" x14ac:dyDescent="0.3">
      <c r="H247" s="1"/>
    </row>
    <row r="248" spans="8:8" x14ac:dyDescent="0.3">
      <c r="H248" s="1"/>
    </row>
    <row r="249" spans="8:8" x14ac:dyDescent="0.3">
      <c r="H249" s="1"/>
    </row>
    <row r="250" spans="8:8" x14ac:dyDescent="0.3">
      <c r="H250" s="1"/>
    </row>
    <row r="251" spans="8:8" x14ac:dyDescent="0.3">
      <c r="H251" s="1"/>
    </row>
    <row r="252" spans="8:8" x14ac:dyDescent="0.3">
      <c r="H252" s="1"/>
    </row>
    <row r="253" spans="8:8" x14ac:dyDescent="0.3">
      <c r="H253" s="1"/>
    </row>
    <row r="254" spans="8:8" x14ac:dyDescent="0.3">
      <c r="H254" s="1"/>
    </row>
    <row r="255" spans="8:8" x14ac:dyDescent="0.3">
      <c r="H255" s="1"/>
    </row>
    <row r="256" spans="8:8" x14ac:dyDescent="0.3">
      <c r="H256" s="1"/>
    </row>
    <row r="257" spans="8:8" x14ac:dyDescent="0.3">
      <c r="H257" s="1"/>
    </row>
    <row r="258" spans="8:8" x14ac:dyDescent="0.3">
      <c r="H258" s="1"/>
    </row>
    <row r="259" spans="8:8" x14ac:dyDescent="0.3">
      <c r="H259" s="1"/>
    </row>
    <row r="260" spans="8:8" x14ac:dyDescent="0.3">
      <c r="H260" s="1"/>
    </row>
    <row r="261" spans="8:8" x14ac:dyDescent="0.3">
      <c r="H261" s="1"/>
    </row>
    <row r="262" spans="8:8" x14ac:dyDescent="0.3">
      <c r="H262" s="1"/>
    </row>
    <row r="263" spans="8:8" x14ac:dyDescent="0.3">
      <c r="H263" s="1"/>
    </row>
    <row r="264" spans="8:8" x14ac:dyDescent="0.3">
      <c r="H264" s="1"/>
    </row>
    <row r="265" spans="8:8" x14ac:dyDescent="0.3">
      <c r="H265" s="1"/>
    </row>
    <row r="266" spans="8:8" x14ac:dyDescent="0.3">
      <c r="H266" s="1"/>
    </row>
    <row r="267" spans="8:8" x14ac:dyDescent="0.3">
      <c r="H267" s="1"/>
    </row>
    <row r="268" spans="8:8" x14ac:dyDescent="0.3">
      <c r="H268" s="1"/>
    </row>
    <row r="269" spans="8:8" x14ac:dyDescent="0.3">
      <c r="H269" s="1"/>
    </row>
    <row r="270" spans="8:8" x14ac:dyDescent="0.3">
      <c r="H270" s="1"/>
    </row>
    <row r="271" spans="8:8" x14ac:dyDescent="0.3">
      <c r="H271" s="1"/>
    </row>
    <row r="272" spans="8:8" x14ac:dyDescent="0.3">
      <c r="H272" s="1"/>
    </row>
    <row r="273" spans="8:8" x14ac:dyDescent="0.3">
      <c r="H273" s="1"/>
    </row>
    <row r="274" spans="8:8" x14ac:dyDescent="0.3">
      <c r="H274" s="1"/>
    </row>
    <row r="275" spans="8:8" x14ac:dyDescent="0.3">
      <c r="H275" s="1"/>
    </row>
    <row r="276" spans="8:8" x14ac:dyDescent="0.3">
      <c r="H276" s="1"/>
    </row>
    <row r="277" spans="8:8" x14ac:dyDescent="0.3">
      <c r="H277" s="1"/>
    </row>
    <row r="278" spans="8:8" x14ac:dyDescent="0.3">
      <c r="H278" s="1"/>
    </row>
    <row r="279" spans="8:8" x14ac:dyDescent="0.3">
      <c r="H279" s="1"/>
    </row>
    <row r="280" spans="8:8" x14ac:dyDescent="0.3">
      <c r="H280" s="1"/>
    </row>
    <row r="281" spans="8:8" x14ac:dyDescent="0.3">
      <c r="H281" s="1"/>
    </row>
    <row r="282" spans="8:8" x14ac:dyDescent="0.3">
      <c r="H282" s="1"/>
    </row>
    <row r="283" spans="8:8" x14ac:dyDescent="0.3">
      <c r="H283" s="1"/>
    </row>
    <row r="284" spans="8:8" x14ac:dyDescent="0.3">
      <c r="H284" s="1"/>
    </row>
    <row r="285" spans="8:8" x14ac:dyDescent="0.3">
      <c r="H285" s="1"/>
    </row>
    <row r="286" spans="8:8" x14ac:dyDescent="0.3">
      <c r="H286" s="1"/>
    </row>
    <row r="287" spans="8:8" x14ac:dyDescent="0.3">
      <c r="H287" s="1"/>
    </row>
    <row r="288" spans="8:8" x14ac:dyDescent="0.3">
      <c r="H288" s="1"/>
    </row>
    <row r="289" spans="8:8" x14ac:dyDescent="0.3">
      <c r="H289" s="1"/>
    </row>
    <row r="290" spans="8:8" x14ac:dyDescent="0.3">
      <c r="H290" s="1"/>
    </row>
    <row r="291" spans="8:8" x14ac:dyDescent="0.3">
      <c r="H291" s="1"/>
    </row>
    <row r="292" spans="8:8" x14ac:dyDescent="0.3">
      <c r="H292" s="1"/>
    </row>
    <row r="293" spans="8:8" x14ac:dyDescent="0.3">
      <c r="H293" s="1"/>
    </row>
    <row r="294" spans="8:8" x14ac:dyDescent="0.3">
      <c r="H294" s="1"/>
    </row>
    <row r="295" spans="8:8" x14ac:dyDescent="0.3">
      <c r="H295" s="1"/>
    </row>
    <row r="296" spans="8:8" x14ac:dyDescent="0.3">
      <c r="H296" s="1"/>
    </row>
    <row r="297" spans="8:8" x14ac:dyDescent="0.3">
      <c r="H297" s="1"/>
    </row>
    <row r="298" spans="8:8" x14ac:dyDescent="0.3">
      <c r="H298" s="1"/>
    </row>
    <row r="299" spans="8:8" x14ac:dyDescent="0.3">
      <c r="H299" s="1"/>
    </row>
    <row r="300" spans="8:8" x14ac:dyDescent="0.3">
      <c r="H300" s="1"/>
    </row>
    <row r="301" spans="8:8" x14ac:dyDescent="0.3">
      <c r="H301" s="1"/>
    </row>
    <row r="302" spans="8:8" x14ac:dyDescent="0.3">
      <c r="H302" s="1"/>
    </row>
    <row r="303" spans="8:8" x14ac:dyDescent="0.3">
      <c r="H303" s="1"/>
    </row>
    <row r="304" spans="8:8" x14ac:dyDescent="0.3">
      <c r="H304" s="1"/>
    </row>
    <row r="305" spans="8:8" x14ac:dyDescent="0.3">
      <c r="H305" s="1"/>
    </row>
    <row r="306" spans="8:8" x14ac:dyDescent="0.3">
      <c r="H306" s="1"/>
    </row>
    <row r="307" spans="8:8" x14ac:dyDescent="0.3">
      <c r="H307" s="1"/>
    </row>
    <row r="308" spans="8:8" x14ac:dyDescent="0.3">
      <c r="H308" s="1"/>
    </row>
    <row r="309" spans="8:8" x14ac:dyDescent="0.3">
      <c r="H309" s="1"/>
    </row>
    <row r="310" spans="8:8" x14ac:dyDescent="0.3">
      <c r="H310" s="1"/>
    </row>
    <row r="311" spans="8:8" x14ac:dyDescent="0.3">
      <c r="H311" s="1"/>
    </row>
    <row r="312" spans="8:8" x14ac:dyDescent="0.3">
      <c r="H312" s="1"/>
    </row>
    <row r="313" spans="8:8" x14ac:dyDescent="0.3">
      <c r="H313" s="1"/>
    </row>
    <row r="314" spans="8:8" x14ac:dyDescent="0.3">
      <c r="H314" s="1"/>
    </row>
    <row r="315" spans="8:8" x14ac:dyDescent="0.3">
      <c r="H315" s="1"/>
    </row>
    <row r="316" spans="8:8" x14ac:dyDescent="0.3">
      <c r="H316" s="1"/>
    </row>
    <row r="317" spans="8:8" x14ac:dyDescent="0.3">
      <c r="H317" s="1"/>
    </row>
    <row r="318" spans="8:8" x14ac:dyDescent="0.3">
      <c r="H318" s="1"/>
    </row>
    <row r="319" spans="8:8" x14ac:dyDescent="0.3">
      <c r="H319" s="1"/>
    </row>
    <row r="320" spans="8:8" x14ac:dyDescent="0.3">
      <c r="H320" s="1"/>
    </row>
    <row r="321" spans="8:8" x14ac:dyDescent="0.3">
      <c r="H321" s="1"/>
    </row>
    <row r="322" spans="8:8" x14ac:dyDescent="0.3">
      <c r="H322" s="1"/>
    </row>
    <row r="323" spans="8:8" x14ac:dyDescent="0.3">
      <c r="H323" s="1"/>
    </row>
    <row r="324" spans="8:8" x14ac:dyDescent="0.3">
      <c r="H324" s="1"/>
    </row>
    <row r="325" spans="8:8" x14ac:dyDescent="0.3">
      <c r="H325" s="1"/>
    </row>
    <row r="326" spans="8:8" x14ac:dyDescent="0.3">
      <c r="H326" s="1"/>
    </row>
    <row r="327" spans="8:8" x14ac:dyDescent="0.3">
      <c r="H327" s="1"/>
    </row>
    <row r="328" spans="8:8" x14ac:dyDescent="0.3">
      <c r="H328" s="1"/>
    </row>
    <row r="329" spans="8:8" x14ac:dyDescent="0.3">
      <c r="H329" s="1"/>
    </row>
    <row r="330" spans="8:8" x14ac:dyDescent="0.3">
      <c r="H330" s="1"/>
    </row>
    <row r="331" spans="8:8" x14ac:dyDescent="0.3">
      <c r="H331" s="1"/>
    </row>
    <row r="332" spans="8:8" x14ac:dyDescent="0.3">
      <c r="H332" s="1"/>
    </row>
    <row r="333" spans="8:8" x14ac:dyDescent="0.3">
      <c r="H333" s="1"/>
    </row>
    <row r="334" spans="8:8" x14ac:dyDescent="0.3">
      <c r="H334" s="1"/>
    </row>
    <row r="335" spans="8:8" x14ac:dyDescent="0.3">
      <c r="H335" s="1"/>
    </row>
    <row r="336" spans="8:8" x14ac:dyDescent="0.3">
      <c r="H336" s="1"/>
    </row>
    <row r="337" spans="8:8" x14ac:dyDescent="0.3">
      <c r="H337" s="1"/>
    </row>
    <row r="338" spans="8:8" x14ac:dyDescent="0.3">
      <c r="H338" s="1"/>
    </row>
    <row r="339" spans="8:8" x14ac:dyDescent="0.3">
      <c r="H339" s="1"/>
    </row>
    <row r="340" spans="8:8" x14ac:dyDescent="0.3">
      <c r="H340" s="1"/>
    </row>
    <row r="341" spans="8:8" x14ac:dyDescent="0.3">
      <c r="H341" s="1"/>
    </row>
    <row r="342" spans="8:8" x14ac:dyDescent="0.3">
      <c r="H342" s="1"/>
    </row>
    <row r="343" spans="8:8" x14ac:dyDescent="0.3">
      <c r="H343" s="1"/>
    </row>
    <row r="344" spans="8:8" x14ac:dyDescent="0.3">
      <c r="H344" s="1"/>
    </row>
    <row r="345" spans="8:8" x14ac:dyDescent="0.3">
      <c r="H345" s="1"/>
    </row>
    <row r="346" spans="8:8" x14ac:dyDescent="0.3">
      <c r="H346" s="1"/>
    </row>
    <row r="347" spans="8:8" x14ac:dyDescent="0.3">
      <c r="H347" s="1"/>
    </row>
    <row r="348" spans="8:8" x14ac:dyDescent="0.3">
      <c r="H348" s="1"/>
    </row>
    <row r="349" spans="8:8" x14ac:dyDescent="0.3">
      <c r="H349" s="1"/>
    </row>
    <row r="350" spans="8:8" x14ac:dyDescent="0.3">
      <c r="H350" s="1"/>
    </row>
    <row r="351" spans="8:8" x14ac:dyDescent="0.3">
      <c r="H351" s="1"/>
    </row>
    <row r="352" spans="8:8" x14ac:dyDescent="0.3">
      <c r="H352" s="1"/>
    </row>
    <row r="353" spans="8:8" x14ac:dyDescent="0.3">
      <c r="H353" s="1"/>
    </row>
    <row r="354" spans="8:8" x14ac:dyDescent="0.3">
      <c r="H354" s="1"/>
    </row>
    <row r="355" spans="8:8" x14ac:dyDescent="0.3">
      <c r="H35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4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14.77734375" customWidth="1"/>
    <col min="2" max="2" width="27.44140625" customWidth="1"/>
    <col min="3" max="3" width="25.109375" customWidth="1"/>
    <col min="4" max="4" width="13.6640625" customWidth="1"/>
    <col min="5" max="5" width="12.33203125" customWidth="1"/>
    <col min="6" max="6" width="20" customWidth="1"/>
    <col min="7" max="7" width="9.21875" customWidth="1"/>
    <col min="8" max="8" width="27.88671875" customWidth="1"/>
    <col min="9" max="9" width="24.21875" customWidth="1"/>
    <col min="10" max="10" width="68.88671875" customWidth="1"/>
    <col min="11" max="11" width="39" customWidth="1"/>
  </cols>
  <sheetData>
    <row r="1" spans="1:1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J2" s="1"/>
    </row>
    <row r="3" spans="1:11" x14ac:dyDescent="0.3">
      <c r="J3" s="1"/>
    </row>
    <row r="4" spans="1:11" x14ac:dyDescent="0.3">
      <c r="J4" s="1"/>
    </row>
    <row r="5" spans="1:11" x14ac:dyDescent="0.3">
      <c r="J5" s="1"/>
    </row>
    <row r="6" spans="1:11" x14ac:dyDescent="0.3">
      <c r="J6" s="1"/>
    </row>
    <row r="7" spans="1:11" x14ac:dyDescent="0.3">
      <c r="J7" s="1"/>
    </row>
    <row r="8" spans="1:11" x14ac:dyDescent="0.3">
      <c r="J8" s="1"/>
    </row>
    <row r="9" spans="1:11" x14ac:dyDescent="0.3">
      <c r="J9" s="1"/>
    </row>
    <row r="10" spans="1:11" x14ac:dyDescent="0.3">
      <c r="J10" s="1"/>
    </row>
    <row r="11" spans="1:11" x14ac:dyDescent="0.3">
      <c r="J11" s="1"/>
    </row>
    <row r="12" spans="1:11" x14ac:dyDescent="0.3">
      <c r="J12" s="1"/>
    </row>
    <row r="13" spans="1:11" x14ac:dyDescent="0.3">
      <c r="J13" s="1"/>
    </row>
    <row r="14" spans="1:11" x14ac:dyDescent="0.3">
      <c r="J14" s="1"/>
    </row>
    <row r="15" spans="1:11" x14ac:dyDescent="0.3">
      <c r="J15" s="1"/>
    </row>
    <row r="16" spans="1:11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31" spans="10:10" x14ac:dyDescent="0.3">
      <c r="J31" s="1"/>
    </row>
    <row r="32" spans="10:10" x14ac:dyDescent="0.3">
      <c r="J32" s="1"/>
    </row>
    <row r="33" spans="10:10" x14ac:dyDescent="0.3">
      <c r="J33" s="1"/>
    </row>
    <row r="34" spans="10:10" x14ac:dyDescent="0.3">
      <c r="J34" s="1"/>
    </row>
    <row r="35" spans="10:10" x14ac:dyDescent="0.3">
      <c r="J35" s="1"/>
    </row>
    <row r="36" spans="10:10" x14ac:dyDescent="0.3">
      <c r="J36" s="1"/>
    </row>
    <row r="37" spans="10:10" x14ac:dyDescent="0.3">
      <c r="J37" s="1"/>
    </row>
    <row r="38" spans="10:10" x14ac:dyDescent="0.3">
      <c r="J38" s="1"/>
    </row>
    <row r="39" spans="10:10" x14ac:dyDescent="0.3">
      <c r="J39" s="1"/>
    </row>
    <row r="40" spans="10:10" x14ac:dyDescent="0.3">
      <c r="J40" s="1"/>
    </row>
    <row r="41" spans="10:10" x14ac:dyDescent="0.3">
      <c r="J41" s="1"/>
    </row>
    <row r="42" spans="10:10" x14ac:dyDescent="0.3">
      <c r="J42" s="1"/>
    </row>
    <row r="43" spans="10:10" x14ac:dyDescent="0.3">
      <c r="J43" s="1"/>
    </row>
    <row r="44" spans="10:10" x14ac:dyDescent="0.3">
      <c r="J44" s="1"/>
    </row>
    <row r="45" spans="10:10" x14ac:dyDescent="0.3">
      <c r="J45" s="1"/>
    </row>
    <row r="46" spans="10:10" x14ac:dyDescent="0.3">
      <c r="J46" s="1"/>
    </row>
    <row r="47" spans="10:10" x14ac:dyDescent="0.3">
      <c r="J47" s="1"/>
    </row>
    <row r="48" spans="10:10" x14ac:dyDescent="0.3">
      <c r="J48" s="1"/>
    </row>
    <row r="49" spans="10:10" x14ac:dyDescent="0.3">
      <c r="J49" s="1"/>
    </row>
    <row r="50" spans="10:10" x14ac:dyDescent="0.3">
      <c r="J50" s="1"/>
    </row>
    <row r="51" spans="10:10" x14ac:dyDescent="0.3">
      <c r="J51" s="1"/>
    </row>
    <row r="52" spans="10:10" x14ac:dyDescent="0.3">
      <c r="J52" s="1"/>
    </row>
    <row r="53" spans="10:10" x14ac:dyDescent="0.3">
      <c r="J53" s="1"/>
    </row>
    <row r="54" spans="10:10" x14ac:dyDescent="0.3">
      <c r="J54" s="1"/>
    </row>
    <row r="55" spans="10:10" x14ac:dyDescent="0.3">
      <c r="J55" s="1"/>
    </row>
    <row r="56" spans="10:10" x14ac:dyDescent="0.3">
      <c r="J56" s="1"/>
    </row>
    <row r="57" spans="10:10" x14ac:dyDescent="0.3">
      <c r="J57" s="1"/>
    </row>
    <row r="58" spans="10:10" x14ac:dyDescent="0.3">
      <c r="J58" s="1"/>
    </row>
    <row r="59" spans="10:10" x14ac:dyDescent="0.3">
      <c r="J59" s="1"/>
    </row>
    <row r="60" spans="10:10" x14ac:dyDescent="0.3">
      <c r="J60" s="1"/>
    </row>
    <row r="61" spans="10:10" x14ac:dyDescent="0.3">
      <c r="J61" s="1"/>
    </row>
    <row r="62" spans="10:10" x14ac:dyDescent="0.3">
      <c r="J62" s="1"/>
    </row>
    <row r="63" spans="10:10" x14ac:dyDescent="0.3">
      <c r="J63" s="1"/>
    </row>
    <row r="64" spans="10:10" x14ac:dyDescent="0.3">
      <c r="J64" s="1"/>
    </row>
    <row r="65" spans="10:10" x14ac:dyDescent="0.3">
      <c r="J65" s="1"/>
    </row>
    <row r="66" spans="10:10" x14ac:dyDescent="0.3">
      <c r="J66" s="1"/>
    </row>
    <row r="67" spans="10:10" x14ac:dyDescent="0.3">
      <c r="J67" s="1"/>
    </row>
    <row r="68" spans="10:10" x14ac:dyDescent="0.3">
      <c r="J68" s="1"/>
    </row>
    <row r="69" spans="10:10" x14ac:dyDescent="0.3">
      <c r="J69" s="1"/>
    </row>
    <row r="70" spans="10:10" x14ac:dyDescent="0.3">
      <c r="J70" s="1"/>
    </row>
    <row r="71" spans="10:10" x14ac:dyDescent="0.3">
      <c r="J71" s="1"/>
    </row>
    <row r="72" spans="10:10" x14ac:dyDescent="0.3">
      <c r="J72" s="1"/>
    </row>
    <row r="73" spans="10:10" x14ac:dyDescent="0.3">
      <c r="J73" s="1"/>
    </row>
    <row r="74" spans="10:10" x14ac:dyDescent="0.3">
      <c r="J74" s="1"/>
    </row>
    <row r="75" spans="10:10" x14ac:dyDescent="0.3">
      <c r="J75" s="1"/>
    </row>
    <row r="76" spans="10:10" x14ac:dyDescent="0.3">
      <c r="J76" s="1"/>
    </row>
    <row r="77" spans="10:10" x14ac:dyDescent="0.3">
      <c r="J77" s="1"/>
    </row>
    <row r="78" spans="10:10" x14ac:dyDescent="0.3">
      <c r="J78" s="1"/>
    </row>
    <row r="79" spans="10:10" x14ac:dyDescent="0.3">
      <c r="J79" s="1"/>
    </row>
    <row r="80" spans="10:10" x14ac:dyDescent="0.3">
      <c r="J80" s="1"/>
    </row>
    <row r="81" spans="10:10" x14ac:dyDescent="0.3">
      <c r="J81" s="1"/>
    </row>
    <row r="82" spans="10:10" x14ac:dyDescent="0.3">
      <c r="J82" s="1"/>
    </row>
    <row r="83" spans="10:10" x14ac:dyDescent="0.3">
      <c r="J83" s="1"/>
    </row>
    <row r="84" spans="10:10" x14ac:dyDescent="0.3">
      <c r="J84" s="1"/>
    </row>
    <row r="85" spans="10:10" x14ac:dyDescent="0.3">
      <c r="J85" s="1"/>
    </row>
    <row r="86" spans="10:10" x14ac:dyDescent="0.3">
      <c r="J86" s="1"/>
    </row>
    <row r="87" spans="10:10" x14ac:dyDescent="0.3">
      <c r="J87" s="1"/>
    </row>
    <row r="88" spans="10:10" x14ac:dyDescent="0.3">
      <c r="J88" s="1"/>
    </row>
    <row r="89" spans="10:10" x14ac:dyDescent="0.3">
      <c r="J89" s="1"/>
    </row>
    <row r="90" spans="10:10" x14ac:dyDescent="0.3">
      <c r="J90" s="1"/>
    </row>
    <row r="91" spans="10:10" x14ac:dyDescent="0.3">
      <c r="J91" s="1"/>
    </row>
    <row r="92" spans="10:10" x14ac:dyDescent="0.3">
      <c r="J92" s="1"/>
    </row>
    <row r="93" spans="10:10" x14ac:dyDescent="0.3">
      <c r="J93" s="1"/>
    </row>
    <row r="94" spans="10:10" x14ac:dyDescent="0.3">
      <c r="J94" s="1"/>
    </row>
    <row r="95" spans="10:10" x14ac:dyDescent="0.3">
      <c r="J95" s="1"/>
    </row>
    <row r="96" spans="10:10" x14ac:dyDescent="0.3">
      <c r="J96" s="1"/>
    </row>
    <row r="97" spans="10:10" x14ac:dyDescent="0.3">
      <c r="J97" s="1"/>
    </row>
    <row r="98" spans="10:10" x14ac:dyDescent="0.3">
      <c r="J98" s="1"/>
    </row>
    <row r="99" spans="10:10" x14ac:dyDescent="0.3">
      <c r="J99" s="1"/>
    </row>
    <row r="100" spans="10:10" x14ac:dyDescent="0.3">
      <c r="J100" s="1"/>
    </row>
    <row r="101" spans="10:10" x14ac:dyDescent="0.3">
      <c r="J101" s="1"/>
    </row>
    <row r="102" spans="10:10" x14ac:dyDescent="0.3">
      <c r="J102" s="1"/>
    </row>
    <row r="103" spans="10:10" x14ac:dyDescent="0.3">
      <c r="J103" s="1"/>
    </row>
    <row r="104" spans="10:10" x14ac:dyDescent="0.3">
      <c r="J104" s="1"/>
    </row>
    <row r="105" spans="10:10" x14ac:dyDescent="0.3">
      <c r="J105" s="1"/>
    </row>
    <row r="106" spans="10:10" x14ac:dyDescent="0.3">
      <c r="J106" s="1"/>
    </row>
    <row r="107" spans="10:10" x14ac:dyDescent="0.3">
      <c r="J107" s="1"/>
    </row>
    <row r="108" spans="10:10" x14ac:dyDescent="0.3">
      <c r="J108" s="1"/>
    </row>
    <row r="109" spans="10:10" x14ac:dyDescent="0.3">
      <c r="J109" s="1"/>
    </row>
    <row r="110" spans="10:10" x14ac:dyDescent="0.3">
      <c r="J110" s="1"/>
    </row>
    <row r="111" spans="10:10" x14ac:dyDescent="0.3">
      <c r="J111" s="1"/>
    </row>
    <row r="112" spans="10:10" x14ac:dyDescent="0.3">
      <c r="J112" s="1"/>
    </row>
    <row r="113" spans="10:10" x14ac:dyDescent="0.3">
      <c r="J113" s="1"/>
    </row>
    <row r="114" spans="10:10" x14ac:dyDescent="0.3">
      <c r="J114" s="1"/>
    </row>
    <row r="115" spans="10:10" x14ac:dyDescent="0.3">
      <c r="J115" s="1"/>
    </row>
    <row r="116" spans="10:10" x14ac:dyDescent="0.3">
      <c r="J116" s="1"/>
    </row>
    <row r="117" spans="10:10" x14ac:dyDescent="0.3">
      <c r="J117" s="1"/>
    </row>
    <row r="118" spans="10:10" x14ac:dyDescent="0.3">
      <c r="J118" s="1"/>
    </row>
    <row r="119" spans="10:10" x14ac:dyDescent="0.3">
      <c r="J119" s="1"/>
    </row>
    <row r="120" spans="10:10" x14ac:dyDescent="0.3">
      <c r="J120" s="1"/>
    </row>
    <row r="121" spans="10:10" x14ac:dyDescent="0.3">
      <c r="J121" s="1"/>
    </row>
    <row r="122" spans="10:10" x14ac:dyDescent="0.3">
      <c r="J122" s="1"/>
    </row>
    <row r="123" spans="10:10" x14ac:dyDescent="0.3">
      <c r="J123" s="1"/>
    </row>
    <row r="124" spans="10:10" x14ac:dyDescent="0.3">
      <c r="J124" s="1"/>
    </row>
    <row r="125" spans="10:10" x14ac:dyDescent="0.3">
      <c r="J125" s="1"/>
    </row>
    <row r="126" spans="10:10" x14ac:dyDescent="0.3">
      <c r="J126" s="1"/>
    </row>
    <row r="127" spans="10:10" x14ac:dyDescent="0.3">
      <c r="J127" s="1"/>
    </row>
    <row r="128" spans="10:10" x14ac:dyDescent="0.3">
      <c r="J128" s="1"/>
    </row>
    <row r="129" spans="10:10" x14ac:dyDescent="0.3">
      <c r="J129" s="1"/>
    </row>
    <row r="130" spans="10:10" x14ac:dyDescent="0.3">
      <c r="J130" s="1"/>
    </row>
    <row r="131" spans="10:10" x14ac:dyDescent="0.3">
      <c r="J131" s="1"/>
    </row>
    <row r="132" spans="10:10" x14ac:dyDescent="0.3">
      <c r="J132" s="1"/>
    </row>
    <row r="133" spans="10:10" x14ac:dyDescent="0.3">
      <c r="J133" s="1"/>
    </row>
    <row r="134" spans="10:10" x14ac:dyDescent="0.3">
      <c r="J134" s="1"/>
    </row>
    <row r="135" spans="10:10" x14ac:dyDescent="0.3">
      <c r="J135" s="1"/>
    </row>
    <row r="136" spans="10:10" x14ac:dyDescent="0.3">
      <c r="J136" s="1"/>
    </row>
    <row r="137" spans="10:10" x14ac:dyDescent="0.3">
      <c r="J137" s="1"/>
    </row>
    <row r="138" spans="10:10" x14ac:dyDescent="0.3">
      <c r="J138" s="1"/>
    </row>
    <row r="139" spans="10:10" x14ac:dyDescent="0.3">
      <c r="J139" s="1"/>
    </row>
    <row r="140" spans="10:10" x14ac:dyDescent="0.3">
      <c r="J140" s="1"/>
    </row>
    <row r="141" spans="10:10" x14ac:dyDescent="0.3">
      <c r="J141" s="1"/>
    </row>
    <row r="142" spans="10:10" x14ac:dyDescent="0.3">
      <c r="J142" s="1"/>
    </row>
    <row r="143" spans="10:10" x14ac:dyDescent="0.3">
      <c r="J143" s="1"/>
    </row>
    <row r="144" spans="10:10" x14ac:dyDescent="0.3">
      <c r="J144" s="1"/>
    </row>
  </sheetData>
  <conditionalFormatting sqref="A1:A1048576">
    <cfRule type="cellIs" dxfId="3" priority="1" operator="equal">
      <formula>"M365 Group"</formula>
    </cfRule>
    <cfRule type="cellIs" dxfId="2" priority="2" operator="equal">
      <formula>"SharePoint Site"</formula>
    </cfRule>
    <cfRule type="cellIs" dxfId="1" priority="3" operator="equal">
      <formula>"Teams Channel"</formula>
    </cfRule>
    <cfRule type="cellIs" dxfId="0" priority="4" operator="equal">
      <formula>"Team"</formula>
    </cfRule>
  </conditionalFormatting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12.33203125" customWidth="1"/>
    <col min="2" max="2" width="15.5546875" customWidth="1"/>
    <col min="3" max="3" width="11.88671875" customWidth="1"/>
    <col min="4" max="4" width="23.21875" customWidth="1"/>
    <col min="5" max="5" width="22.5546875" customWidth="1"/>
    <col min="6" max="6" width="12.33203125" customWidth="1"/>
  </cols>
  <sheetData>
    <row r="1" spans="1:6" x14ac:dyDescent="0.3">
      <c r="A1" s="2"/>
      <c r="B1" s="2"/>
      <c r="C1" s="2"/>
      <c r="D1" s="2"/>
      <c r="E1" s="2"/>
      <c r="F1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33.5546875" customWidth="1"/>
    <col min="2" max="2" width="15" customWidth="1"/>
    <col min="3" max="3" width="11.77734375" customWidth="1"/>
    <col min="4" max="4" width="19" customWidth="1"/>
    <col min="5" max="5" width="20.6640625" customWidth="1"/>
    <col min="6" max="6" width="21.44140625" customWidth="1"/>
    <col min="7" max="7" width="15.88671875" customWidth="1"/>
    <col min="8" max="8" width="82.33203125" customWidth="1"/>
    <col min="9" max="9" width="13.88671875" customWidth="1"/>
    <col min="10" max="10" width="15.88671875" customWidth="1"/>
    <col min="11" max="11" width="74.77734375" customWidth="1"/>
    <col min="12" max="12" width="18.44140625" customWidth="1"/>
    <col min="13" max="13" width="45.5546875" customWidth="1"/>
    <col min="14" max="14" width="18.44140625" customWidth="1"/>
    <col min="15" max="15" width="21.5546875" customWidth="1"/>
    <col min="16" max="16" width="41.77734375" customWidth="1"/>
  </cols>
  <sheetData>
    <row r="1" spans="1:16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3" width="27.21875" customWidth="1"/>
    <col min="4" max="4" width="41" customWidth="1"/>
    <col min="5" max="5" width="38.5546875" customWidth="1"/>
    <col min="6" max="6" width="95.21875" customWidth="1"/>
    <col min="7" max="7" width="30.44140625" customWidth="1"/>
    <col min="8" max="8" width="25.88671875" customWidth="1"/>
    <col min="9" max="9" width="16.77734375" customWidth="1"/>
    <col min="10" max="10" width="26" customWidth="1"/>
    <col min="11" max="11" width="27.21875" customWidth="1"/>
  </cols>
  <sheetData>
    <row r="1" spans="1:1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6" width="9.109375" customWidth="1"/>
  </cols>
  <sheetData>
    <row r="1" spans="1:6" x14ac:dyDescent="0.3">
      <c r="A1" s="2"/>
      <c r="B1" s="2"/>
      <c r="C1" s="2"/>
      <c r="D1" s="2"/>
      <c r="E1" s="2"/>
      <c r="F1" s="2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27.21875" customWidth="1"/>
    <col min="3" max="3" width="41" customWidth="1"/>
    <col min="4" max="4" width="24.77734375" customWidth="1"/>
    <col min="5" max="5" width="14.33203125" customWidth="1"/>
    <col min="6" max="6" width="16.77734375" customWidth="1"/>
    <col min="7" max="7" width="25.88671875" customWidth="1"/>
    <col min="8" max="8" width="14.109375" customWidth="1"/>
    <col min="9" max="9" width="13.88671875" customWidth="1"/>
    <col min="10" max="11" width="20" customWidth="1"/>
  </cols>
  <sheetData>
    <row r="1" spans="1:1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26" customWidth="1"/>
    <col min="2" max="2" width="13.88671875" customWidth="1"/>
    <col min="3" max="3" width="9.109375" customWidth="1"/>
    <col min="4" max="4" width="14.88671875" customWidth="1"/>
    <col min="5" max="5" width="18.109375" customWidth="1"/>
    <col min="6" max="6" width="14.44140625" customWidth="1"/>
    <col min="7" max="7" width="20" customWidth="1"/>
    <col min="8" max="8" width="16.77734375" customWidth="1"/>
    <col min="9" max="9" width="10.5546875" customWidth="1"/>
    <col min="10" max="10" width="38.44140625" customWidth="1"/>
  </cols>
  <sheetData>
    <row r="1" spans="1:10" x14ac:dyDescent="0.3">
      <c r="A1" s="2"/>
      <c r="B1" s="2"/>
      <c r="C1" s="2"/>
      <c r="D1" s="2"/>
      <c r="E1" s="2"/>
      <c r="F1" s="2"/>
      <c r="G1" s="2"/>
      <c r="H1" s="2"/>
      <c r="I1" s="2"/>
      <c r="J1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18.109375" customWidth="1"/>
    <col min="2" max="2" width="30.109375" customWidth="1"/>
    <col min="3" max="4" width="43.88671875" customWidth="1"/>
    <col min="5" max="5" width="13.21875" customWidth="1"/>
    <col min="6" max="6" width="19" customWidth="1"/>
    <col min="7" max="7" width="20.21875" customWidth="1"/>
    <col min="8" max="8" width="26" customWidth="1"/>
    <col min="9" max="9" width="10.44140625" customWidth="1"/>
    <col min="10" max="10" width="20" customWidth="1"/>
    <col min="11" max="11" width="25.77734375" customWidth="1"/>
    <col min="12" max="12" width="23.44140625" customWidth="1"/>
    <col min="13" max="13" width="18.77734375" customWidth="1"/>
    <col min="14" max="14" width="14.5546875" customWidth="1"/>
    <col min="15" max="15" width="20" customWidth="1"/>
    <col min="16" max="16" width="20.44140625" customWidth="1"/>
    <col min="17" max="17" width="20" customWidth="1"/>
  </cols>
  <sheetData>
    <row r="1" spans="1:17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10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27.44140625" customWidth="1"/>
    <col min="2" max="2" width="66.5546875" customWidth="1"/>
    <col min="3" max="3" width="57.44140625" customWidth="1"/>
    <col min="4" max="4" width="22.5546875" customWidth="1"/>
    <col min="5" max="5" width="13.21875" customWidth="1"/>
    <col min="6" max="6" width="19" customWidth="1"/>
    <col min="7" max="7" width="20.21875" customWidth="1"/>
    <col min="8" max="8" width="26" customWidth="1"/>
    <col min="9" max="9" width="20" customWidth="1"/>
    <col min="10" max="10" width="20.44140625" customWidth="1"/>
    <col min="11" max="11" width="20" customWidth="1"/>
    <col min="12" max="12" width="223.109375" customWidth="1"/>
    <col min="13" max="13" width="67.21875" customWidth="1"/>
    <col min="14" max="14" width="38.77734375" customWidth="1"/>
  </cols>
  <sheetData>
    <row r="1" spans="1:1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L2" s="1"/>
      <c r="M2" s="1"/>
    </row>
    <row r="3" spans="1:14" x14ac:dyDescent="0.3">
      <c r="L3" s="1"/>
      <c r="M3" s="1"/>
    </row>
    <row r="4" spans="1:14" x14ac:dyDescent="0.3">
      <c r="L4" s="1"/>
      <c r="M4" s="1"/>
    </row>
    <row r="5" spans="1:14" x14ac:dyDescent="0.3">
      <c r="L5" s="1"/>
      <c r="M5" s="1"/>
    </row>
    <row r="6" spans="1:14" x14ac:dyDescent="0.3">
      <c r="L6" s="1"/>
      <c r="M6" s="1"/>
    </row>
    <row r="7" spans="1:14" x14ac:dyDescent="0.3">
      <c r="L7" s="1"/>
      <c r="M7" s="1"/>
    </row>
    <row r="8" spans="1:14" x14ac:dyDescent="0.3">
      <c r="L8" s="1"/>
      <c r="M8" s="1"/>
    </row>
    <row r="9" spans="1:14" x14ac:dyDescent="0.3">
      <c r="L9" s="1"/>
      <c r="M9" s="1"/>
    </row>
    <row r="10" spans="1:14" x14ac:dyDescent="0.3">
      <c r="L10" s="1"/>
      <c r="M10" s="1"/>
    </row>
    <row r="11" spans="1:14" x14ac:dyDescent="0.3">
      <c r="L11" s="1"/>
      <c r="M11" s="1"/>
    </row>
    <row r="12" spans="1:14" x14ac:dyDescent="0.3">
      <c r="L12" s="1"/>
      <c r="M12" s="1"/>
    </row>
    <row r="13" spans="1:14" x14ac:dyDescent="0.3">
      <c r="L13" s="1"/>
      <c r="M13" s="1"/>
    </row>
    <row r="14" spans="1:14" x14ac:dyDescent="0.3">
      <c r="L14" s="1"/>
      <c r="M14" s="1"/>
    </row>
    <row r="15" spans="1:14" x14ac:dyDescent="0.3">
      <c r="L15" s="1"/>
      <c r="M15" s="1"/>
    </row>
    <row r="16" spans="1:14" x14ac:dyDescent="0.3">
      <c r="L16" s="1"/>
      <c r="M16" s="1"/>
    </row>
    <row r="17" spans="12:13" x14ac:dyDescent="0.3">
      <c r="L17" s="1"/>
      <c r="M17" s="1"/>
    </row>
    <row r="18" spans="12:13" x14ac:dyDescent="0.3">
      <c r="L18" s="1"/>
      <c r="M18" s="1"/>
    </row>
    <row r="19" spans="12:13" x14ac:dyDescent="0.3">
      <c r="L19" s="1"/>
      <c r="M19" s="1"/>
    </row>
    <row r="20" spans="12:13" x14ac:dyDescent="0.3">
      <c r="L20" s="1"/>
      <c r="M20" s="1"/>
    </row>
    <row r="21" spans="12:13" x14ac:dyDescent="0.3">
      <c r="L21" s="1"/>
      <c r="M21" s="1"/>
    </row>
    <row r="22" spans="12:13" x14ac:dyDescent="0.3">
      <c r="L22" s="1"/>
      <c r="M22" s="1"/>
    </row>
    <row r="23" spans="12:13" x14ac:dyDescent="0.3">
      <c r="L23" s="1"/>
      <c r="M23" s="1"/>
    </row>
    <row r="24" spans="12:13" x14ac:dyDescent="0.3">
      <c r="L24" s="1"/>
      <c r="M24" s="1"/>
    </row>
    <row r="25" spans="12:13" x14ac:dyDescent="0.3">
      <c r="L25" s="1"/>
      <c r="M25" s="1"/>
    </row>
    <row r="26" spans="12:13" x14ac:dyDescent="0.3">
      <c r="L26" s="1"/>
      <c r="M26" s="1"/>
    </row>
    <row r="27" spans="12:13" x14ac:dyDescent="0.3">
      <c r="L27" s="1"/>
      <c r="M27" s="1"/>
    </row>
    <row r="28" spans="12:13" x14ac:dyDescent="0.3">
      <c r="L28" s="1"/>
      <c r="M28" s="1"/>
    </row>
    <row r="29" spans="12:13" x14ac:dyDescent="0.3">
      <c r="L29" s="1"/>
      <c r="M29" s="1"/>
    </row>
    <row r="30" spans="12:13" x14ac:dyDescent="0.3">
      <c r="L30" s="1"/>
      <c r="M30" s="1"/>
    </row>
    <row r="31" spans="12:13" x14ac:dyDescent="0.3">
      <c r="L31" s="1"/>
      <c r="M31" s="1"/>
    </row>
    <row r="32" spans="12:13" x14ac:dyDescent="0.3">
      <c r="L32" s="1"/>
      <c r="M32" s="1"/>
    </row>
    <row r="33" spans="12:13" x14ac:dyDescent="0.3">
      <c r="L33" s="1"/>
      <c r="M33" s="1"/>
    </row>
    <row r="34" spans="12:13" x14ac:dyDescent="0.3">
      <c r="L34" s="1"/>
      <c r="M34" s="1"/>
    </row>
    <row r="35" spans="12:13" x14ac:dyDescent="0.3">
      <c r="L35" s="1"/>
      <c r="M35" s="1"/>
    </row>
    <row r="36" spans="12:13" x14ac:dyDescent="0.3">
      <c r="L36" s="1"/>
      <c r="M36" s="1"/>
    </row>
    <row r="37" spans="12:13" x14ac:dyDescent="0.3">
      <c r="L37" s="1"/>
      <c r="M37" s="1"/>
    </row>
    <row r="38" spans="12:13" x14ac:dyDescent="0.3">
      <c r="L38" s="1"/>
      <c r="M38" s="1"/>
    </row>
    <row r="39" spans="12:13" x14ac:dyDescent="0.3">
      <c r="L39" s="1"/>
      <c r="M39" s="1"/>
    </row>
    <row r="40" spans="12:13" x14ac:dyDescent="0.3">
      <c r="L40" s="1"/>
      <c r="M40" s="1"/>
    </row>
    <row r="41" spans="12:13" x14ac:dyDescent="0.3">
      <c r="L41" s="1"/>
      <c r="M41" s="1"/>
    </row>
    <row r="42" spans="12:13" x14ac:dyDescent="0.3">
      <c r="L42" s="1"/>
      <c r="M42" s="1"/>
    </row>
    <row r="43" spans="12:13" x14ac:dyDescent="0.3">
      <c r="L43" s="1"/>
      <c r="M43" s="1"/>
    </row>
    <row r="44" spans="12:13" x14ac:dyDescent="0.3">
      <c r="L44" s="1"/>
      <c r="M44" s="1"/>
    </row>
    <row r="45" spans="12:13" x14ac:dyDescent="0.3">
      <c r="L45" s="1"/>
      <c r="M45" s="1"/>
    </row>
    <row r="46" spans="12:13" x14ac:dyDescent="0.3">
      <c r="L46" s="1"/>
      <c r="M46" s="1"/>
    </row>
    <row r="47" spans="12:13" x14ac:dyDescent="0.3">
      <c r="L47" s="1"/>
      <c r="M47" s="1"/>
    </row>
    <row r="48" spans="12:13" x14ac:dyDescent="0.3">
      <c r="L48" s="1"/>
      <c r="M48" s="1"/>
    </row>
    <row r="49" spans="12:13" x14ac:dyDescent="0.3">
      <c r="L49" s="1"/>
      <c r="M49" s="1"/>
    </row>
    <row r="50" spans="12:13" x14ac:dyDescent="0.3">
      <c r="L50" s="1"/>
      <c r="M50" s="1"/>
    </row>
    <row r="51" spans="12:13" x14ac:dyDescent="0.3">
      <c r="L51" s="1"/>
      <c r="M51" s="1"/>
    </row>
    <row r="52" spans="12:13" x14ac:dyDescent="0.3">
      <c r="L52" s="1"/>
      <c r="M52" s="1"/>
    </row>
    <row r="53" spans="12:13" x14ac:dyDescent="0.3">
      <c r="L53" s="1"/>
      <c r="M53" s="1"/>
    </row>
    <row r="54" spans="12:13" x14ac:dyDescent="0.3">
      <c r="L54" s="1"/>
      <c r="M54" s="1"/>
    </row>
    <row r="55" spans="12:13" x14ac:dyDescent="0.3">
      <c r="L55" s="1"/>
      <c r="M55" s="1"/>
    </row>
    <row r="56" spans="12:13" x14ac:dyDescent="0.3">
      <c r="L56" s="1"/>
      <c r="M56" s="1"/>
    </row>
    <row r="57" spans="12:13" x14ac:dyDescent="0.3">
      <c r="L57" s="1"/>
      <c r="M57" s="1"/>
    </row>
    <row r="58" spans="12:13" x14ac:dyDescent="0.3">
      <c r="L58" s="1"/>
      <c r="M58" s="1"/>
    </row>
    <row r="59" spans="12:13" x14ac:dyDescent="0.3">
      <c r="L59" s="1"/>
      <c r="M59" s="1"/>
    </row>
    <row r="60" spans="12:13" x14ac:dyDescent="0.3">
      <c r="L60" s="1"/>
      <c r="M60" s="1"/>
    </row>
    <row r="61" spans="12:13" x14ac:dyDescent="0.3">
      <c r="L61" s="1"/>
      <c r="M61" s="1"/>
    </row>
    <row r="62" spans="12:13" x14ac:dyDescent="0.3">
      <c r="L62" s="1"/>
      <c r="M62" s="1"/>
    </row>
    <row r="63" spans="12:13" x14ac:dyDescent="0.3">
      <c r="L63" s="1"/>
      <c r="M63" s="1"/>
    </row>
    <row r="64" spans="12:13" x14ac:dyDescent="0.3">
      <c r="L64" s="1"/>
      <c r="M64" s="1"/>
    </row>
    <row r="65" spans="12:13" x14ac:dyDescent="0.3">
      <c r="L65" s="1"/>
      <c r="M65" s="1"/>
    </row>
    <row r="66" spans="12:13" x14ac:dyDescent="0.3">
      <c r="L66" s="1"/>
      <c r="M66" s="1"/>
    </row>
    <row r="67" spans="12:13" x14ac:dyDescent="0.3">
      <c r="L67" s="1"/>
      <c r="M67" s="1"/>
    </row>
    <row r="68" spans="12:13" x14ac:dyDescent="0.3">
      <c r="L68" s="1"/>
      <c r="M68" s="1"/>
    </row>
    <row r="69" spans="12:13" x14ac:dyDescent="0.3">
      <c r="L69" s="1"/>
      <c r="M69" s="1"/>
    </row>
    <row r="70" spans="12:13" x14ac:dyDescent="0.3">
      <c r="L70" s="1"/>
      <c r="M70" s="1"/>
    </row>
    <row r="71" spans="12:13" x14ac:dyDescent="0.3">
      <c r="L71" s="1"/>
      <c r="M71" s="1"/>
    </row>
    <row r="72" spans="12:13" x14ac:dyDescent="0.3">
      <c r="L72" s="1"/>
      <c r="M72" s="1"/>
    </row>
    <row r="73" spans="12:13" x14ac:dyDescent="0.3">
      <c r="L73" s="1"/>
      <c r="M73" s="1"/>
    </row>
    <row r="74" spans="12:13" x14ac:dyDescent="0.3">
      <c r="L74" s="1"/>
      <c r="M74" s="1"/>
    </row>
    <row r="75" spans="12:13" x14ac:dyDescent="0.3">
      <c r="L75" s="1"/>
      <c r="M75" s="1"/>
    </row>
    <row r="76" spans="12:13" x14ac:dyDescent="0.3">
      <c r="L76" s="1"/>
      <c r="M76" s="1"/>
    </row>
    <row r="77" spans="12:13" x14ac:dyDescent="0.3">
      <c r="L77" s="1"/>
      <c r="M77" s="1"/>
    </row>
    <row r="78" spans="12:13" x14ac:dyDescent="0.3">
      <c r="L78" s="1"/>
      <c r="M78" s="1"/>
    </row>
    <row r="79" spans="12:13" x14ac:dyDescent="0.3">
      <c r="L79" s="1"/>
      <c r="M79" s="1"/>
    </row>
    <row r="80" spans="12:13" x14ac:dyDescent="0.3">
      <c r="L80" s="1"/>
      <c r="M80" s="1"/>
    </row>
    <row r="81" spans="12:13" x14ac:dyDescent="0.3">
      <c r="L81" s="1"/>
      <c r="M81" s="1"/>
    </row>
    <row r="82" spans="12:13" x14ac:dyDescent="0.3">
      <c r="L82" s="1"/>
      <c r="M82" s="1"/>
    </row>
    <row r="83" spans="12:13" x14ac:dyDescent="0.3">
      <c r="L83" s="1"/>
      <c r="M83" s="1"/>
    </row>
    <row r="84" spans="12:13" x14ac:dyDescent="0.3">
      <c r="L84" s="1"/>
      <c r="M84" s="1"/>
    </row>
    <row r="85" spans="12:13" x14ac:dyDescent="0.3">
      <c r="L85" s="1"/>
      <c r="M85" s="1"/>
    </row>
    <row r="86" spans="12:13" x14ac:dyDescent="0.3">
      <c r="L86" s="1"/>
      <c r="M86" s="1"/>
    </row>
    <row r="87" spans="12:13" x14ac:dyDescent="0.3">
      <c r="L87" s="1"/>
      <c r="M87" s="1"/>
    </row>
    <row r="88" spans="12:13" x14ac:dyDescent="0.3">
      <c r="L88" s="1"/>
      <c r="M88" s="1"/>
    </row>
    <row r="89" spans="12:13" x14ac:dyDescent="0.3">
      <c r="L89" s="1"/>
      <c r="M89" s="1"/>
    </row>
    <row r="90" spans="12:13" x14ac:dyDescent="0.3">
      <c r="L90" s="1"/>
      <c r="M90" s="1"/>
    </row>
    <row r="91" spans="12:13" x14ac:dyDescent="0.3">
      <c r="L91" s="1"/>
      <c r="M91" s="1"/>
    </row>
    <row r="92" spans="12:13" x14ac:dyDescent="0.3">
      <c r="L92" s="1"/>
      <c r="M92" s="1"/>
    </row>
    <row r="93" spans="12:13" x14ac:dyDescent="0.3">
      <c r="L93" s="1"/>
      <c r="M93" s="1"/>
    </row>
    <row r="94" spans="12:13" x14ac:dyDescent="0.3">
      <c r="L94" s="1"/>
      <c r="M94" s="1"/>
    </row>
    <row r="95" spans="12:13" x14ac:dyDescent="0.3">
      <c r="L95" s="1"/>
      <c r="M95" s="1"/>
    </row>
    <row r="96" spans="12:13" x14ac:dyDescent="0.3">
      <c r="L96" s="1"/>
      <c r="M96" s="1"/>
    </row>
    <row r="97" spans="12:13" x14ac:dyDescent="0.3">
      <c r="L97" s="1"/>
      <c r="M97" s="1"/>
    </row>
    <row r="98" spans="12:13" x14ac:dyDescent="0.3">
      <c r="L98" s="1"/>
      <c r="M98" s="1"/>
    </row>
    <row r="99" spans="12:13" x14ac:dyDescent="0.3">
      <c r="L99" s="1"/>
      <c r="M99" s="1"/>
    </row>
    <row r="100" spans="12:13" x14ac:dyDescent="0.3">
      <c r="L100" s="1"/>
      <c r="M100" s="1"/>
    </row>
    <row r="101" spans="12:13" x14ac:dyDescent="0.3">
      <c r="L101" s="1"/>
      <c r="M101" s="1"/>
    </row>
    <row r="102" spans="12:13" x14ac:dyDescent="0.3">
      <c r="L102" s="1"/>
      <c r="M102" s="1"/>
    </row>
    <row r="103" spans="12:13" x14ac:dyDescent="0.3">
      <c r="L103" s="1"/>
      <c r="M103" s="1"/>
    </row>
    <row r="104" spans="12:13" x14ac:dyDescent="0.3">
      <c r="L104" s="1"/>
      <c r="M104" s="1"/>
    </row>
    <row r="105" spans="12:13" x14ac:dyDescent="0.3">
      <c r="L105" s="1"/>
      <c r="M105" s="1"/>
    </row>
    <row r="106" spans="12:13" x14ac:dyDescent="0.3">
      <c r="L106" s="1"/>
      <c r="M106" s="1"/>
    </row>
    <row r="107" spans="12:13" x14ac:dyDescent="0.3">
      <c r="L107" s="1"/>
      <c r="M107" s="1"/>
    </row>
    <row r="108" spans="12:13" x14ac:dyDescent="0.3">
      <c r="L108" s="1"/>
      <c r="M108" s="1"/>
    </row>
    <row r="109" spans="12:13" x14ac:dyDescent="0.3">
      <c r="L109" s="1"/>
      <c r="M109" s="1"/>
    </row>
    <row r="110" spans="12:13" x14ac:dyDescent="0.3">
      <c r="L110" s="1"/>
      <c r="M110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3d431f1-3e02-4c62-a825-79cd8f9e2053}" enabled="0" method="" siteId="{c3d431f1-3e02-4c62-a825-79cd8f9e20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Dashboard</vt:lpstr>
      <vt:lpstr>Data</vt:lpstr>
      <vt:lpstr>AllUsers</vt:lpstr>
      <vt:lpstr>AccountSummary</vt:lpstr>
      <vt:lpstr>Devices</vt:lpstr>
      <vt:lpstr>GroupSummary</vt:lpstr>
      <vt:lpstr>OneDrives</vt:lpstr>
      <vt:lpstr>SharePointSites</vt:lpstr>
      <vt:lpstr>Contacts</vt:lpstr>
      <vt:lpstr>Domains</vt:lpstr>
      <vt:lpstr>MailEnabledSecurityGroups</vt:lpstr>
      <vt:lpstr>DynamicDistributionGroups</vt:lpstr>
      <vt:lpstr>DistributionGroups</vt:lpstr>
      <vt:lpstr>SecurityGroups</vt:lpstr>
      <vt:lpstr>AccountMailboxes</vt:lpstr>
      <vt:lpstr>GroupMailboxes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Ansell</dc:creator>
  <cp:lastModifiedBy>Si Ansell</cp:lastModifiedBy>
  <dcterms:created xsi:type="dcterms:W3CDTF">2015-06-05T18:17:20Z</dcterms:created>
  <dcterms:modified xsi:type="dcterms:W3CDTF">2026-08-10T16:25:26Z</dcterms:modified>
</cp:coreProperties>
</file>